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F:\VBA for Excel\"/>
    </mc:Choice>
  </mc:AlternateContent>
  <xr:revisionPtr revIDLastSave="0" documentId="13_ncr:1_{77839AD8-A083-4160-8338-2DCE03B59C47}" xr6:coauthVersionLast="47" xr6:coauthVersionMax="47" xr10:uidLastSave="{00000000-0000-0000-0000-000000000000}"/>
  <bookViews>
    <workbookView xWindow="-90" yWindow="0" windowWidth="19380" windowHeight="20970" firstSheet="2" activeTab="2" xr2:uid="{00000000-000D-0000-FFFF-FFFF00000000}"/>
  </bookViews>
  <sheets>
    <sheet name="Main" sheetId="44" state="hidden" r:id="rId1"/>
    <sheet name="Hist" sheetId="43" state="hidden" r:id="rId2"/>
    <sheet name="Histogram Data" sheetId="2" r:id="rId3"/>
    <sheet name="HistogramView" sheetId="45" r:id="rId4"/>
  </sheets>
  <definedNames>
    <definedName name="_xlchart.v1.0" hidden="1">'Histogram Data'!$A$1:$A$1000</definedName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44" l="1"/>
  <c r="H23" i="44"/>
  <c r="H22" i="44"/>
  <c r="H21" i="44"/>
  <c r="H20" i="44"/>
  <c r="H10" i="44"/>
  <c r="H11" i="44"/>
  <c r="F24" i="44"/>
  <c r="F23" i="44"/>
  <c r="F22" i="44"/>
  <c r="F21" i="44"/>
  <c r="F20" i="44"/>
  <c r="F19" i="44"/>
  <c r="F18" i="44"/>
  <c r="F17" i="44"/>
  <c r="F16" i="44"/>
  <c r="F15" i="44"/>
  <c r="F14" i="44"/>
  <c r="F13" i="44"/>
  <c r="F12" i="44"/>
  <c r="F10" i="44"/>
  <c r="E10" i="44"/>
  <c r="E11" i="44"/>
  <c r="C10" i="44"/>
  <c r="D24" i="44"/>
  <c r="D23" i="44"/>
  <c r="D22" i="44"/>
  <c r="D21" i="44"/>
  <c r="D20" i="44"/>
  <c r="D19" i="44"/>
  <c r="D18" i="44"/>
  <c r="D17" i="44"/>
  <c r="D16" i="44"/>
  <c r="D15" i="44"/>
  <c r="D14" i="44"/>
  <c r="D13" i="44"/>
  <c r="D12" i="44"/>
  <c r="D11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C16" i="44"/>
  <c r="B16" i="44"/>
  <c r="C15" i="44"/>
  <c r="B15" i="44"/>
  <c r="C14" i="44"/>
  <c r="B14" i="44"/>
  <c r="C13" i="44"/>
  <c r="B13" i="44"/>
  <c r="C11" i="44"/>
  <c r="B11" i="44"/>
  <c r="D10" i="44"/>
  <c r="J24" i="44"/>
  <c r="I24" i="44"/>
  <c r="K24" i="44" s="1"/>
  <c r="E24" i="44"/>
  <c r="J23" i="44"/>
  <c r="I23" i="44"/>
  <c r="E23" i="44"/>
  <c r="J22" i="44"/>
  <c r="I22" i="44"/>
  <c r="K22" i="44" s="1"/>
  <c r="E22" i="44"/>
  <c r="J21" i="44"/>
  <c r="I21" i="44"/>
  <c r="K21" i="44" s="1"/>
  <c r="L21" i="44" s="1"/>
  <c r="M21" i="44" s="1"/>
  <c r="E21" i="44"/>
  <c r="J20" i="44"/>
  <c r="I20" i="44"/>
  <c r="K20" i="44" s="1"/>
  <c r="L20" i="44" s="1"/>
  <c r="M20" i="44" s="1"/>
  <c r="E20" i="44"/>
  <c r="J19" i="44"/>
  <c r="I19" i="44"/>
  <c r="H19" i="44"/>
  <c r="K19" i="44" s="1"/>
  <c r="L19" i="44" s="1"/>
  <c r="M19" i="44" s="1"/>
  <c r="E19" i="44"/>
  <c r="J18" i="44"/>
  <c r="K18" i="44" s="1"/>
  <c r="L18" i="44" s="1"/>
  <c r="M18" i="44" s="1"/>
  <c r="I18" i="44"/>
  <c r="H18" i="44"/>
  <c r="E18" i="44"/>
  <c r="J17" i="44"/>
  <c r="I17" i="44"/>
  <c r="K17" i="44" s="1"/>
  <c r="L17" i="44" s="1"/>
  <c r="M17" i="44" s="1"/>
  <c r="H17" i="44"/>
  <c r="E17" i="44"/>
  <c r="J16" i="44"/>
  <c r="I16" i="44"/>
  <c r="K16" i="44" s="1"/>
  <c r="L16" i="44" s="1"/>
  <c r="M16" i="44" s="1"/>
  <c r="H16" i="44"/>
  <c r="E16" i="44"/>
  <c r="J15" i="44"/>
  <c r="I15" i="44"/>
  <c r="K15" i="44" s="1"/>
  <c r="L15" i="44" s="1"/>
  <c r="M15" i="44" s="1"/>
  <c r="H15" i="44"/>
  <c r="E15" i="44"/>
  <c r="J14" i="44"/>
  <c r="I14" i="44"/>
  <c r="K14" i="44" s="1"/>
  <c r="L14" i="44" s="1"/>
  <c r="M14" i="44" s="1"/>
  <c r="H14" i="44"/>
  <c r="E14" i="44"/>
  <c r="K13" i="44"/>
  <c r="L13" i="44" s="1"/>
  <c r="M13" i="44" s="1"/>
  <c r="J13" i="44"/>
  <c r="I13" i="44"/>
  <c r="H13" i="44"/>
  <c r="E13" i="44"/>
  <c r="J12" i="44"/>
  <c r="K12" i="44" s="1"/>
  <c r="L12" i="44" s="1"/>
  <c r="M12" i="44" s="1"/>
  <c r="I12" i="44"/>
  <c r="H12" i="44"/>
  <c r="E12" i="44"/>
  <c r="F11" i="44"/>
  <c r="L11" i="44" s="1"/>
  <c r="M11" i="44" s="1"/>
  <c r="C12" i="44"/>
  <c r="B12" i="44"/>
  <c r="B10" i="44"/>
  <c r="K23" i="44" l="1"/>
  <c r="L23" i="44" s="1"/>
  <c r="M23" i="44" s="1"/>
  <c r="L22" i="44"/>
  <c r="M22" i="44" s="1"/>
  <c r="L10" i="44"/>
  <c r="M10" i="44" s="1"/>
  <c r="N10" i="44" s="1"/>
  <c r="N11" i="44" s="1"/>
  <c r="N12" i="44" s="1"/>
  <c r="N13" i="44" s="1"/>
  <c r="N14" i="44" s="1"/>
  <c r="N15" i="44" s="1"/>
  <c r="N16" i="44" s="1"/>
  <c r="N17" i="44" s="1"/>
  <c r="N18" i="44" s="1"/>
  <c r="N19" i="44" s="1"/>
  <c r="N20" i="44" s="1"/>
  <c r="N21" i="44" s="1"/>
  <c r="L24" i="44"/>
  <c r="M24" i="44" s="1"/>
  <c r="N22" i="44" l="1"/>
  <c r="N23" i="44" s="1"/>
  <c r="N24" i="44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<sst xmlns="http://schemas.openxmlformats.org/spreadsheetml/2006/main" count="28" uniqueCount="23">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</sst>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164" formatCode="0.0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2" fontId="0" fillId="2" borderId="2" xfId="0" applyNumberFormat="1" applyFill="1" applyBorder="1" applyAlignment="1">
      <alignment horizontal="right"/>
    </xf>
    <xf numFmtId="164" fontId="0" fillId="2" borderId="2" xfId="0" applyNumberFormat="1" applyFill="1" applyBorder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 applyAlignment="1">
      <alignment horizontal="right"/>
    </xf>
    <xf numFmtId="165" fontId="0" fillId="2" borderId="4" xfId="2" applyNumberFormat="1" applyFont="1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0" fontId="3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70AF0255-FA40-4C21-B641-9556BB45C4F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81887100640043E-2"/>
          <c:y val="1.8633540372670808E-2"/>
          <c:w val="0.95801676002450087"/>
          <c:h val="0.8633802024746907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Data'!$A$1:$A$17</c:f>
              <c:numCache>
                <c:formatCode>0.00</c:formatCode>
                <c:ptCount val="17"/>
                <c:pt idx="0">
                  <c:v>4.491978645686749</c:v>
                </c:pt>
                <c:pt idx="1">
                  <c:v>0.21084765308449954</c:v>
                </c:pt>
                <c:pt idx="2">
                  <c:v>1.8317037983558853</c:v>
                </c:pt>
                <c:pt idx="3">
                  <c:v>9.3679100970338549</c:v>
                </c:pt>
                <c:pt idx="4">
                  <c:v>4.9091668298359323</c:v>
                </c:pt>
                <c:pt idx="5">
                  <c:v>11.687198480524135</c:v>
                </c:pt>
                <c:pt idx="6">
                  <c:v>-2.0915761857598252</c:v>
                </c:pt>
                <c:pt idx="7">
                  <c:v>37.259436332475723</c:v>
                </c:pt>
                <c:pt idx="8">
                  <c:v>-4.9921939796798442</c:v>
                </c:pt>
                <c:pt idx="9">
                  <c:v>11.754522686360893</c:v>
                </c:pt>
                <c:pt idx="10">
                  <c:v>-8.2917824536496987</c:v>
                </c:pt>
                <c:pt idx="11">
                  <c:v>16.540440867453501</c:v>
                </c:pt>
                <c:pt idx="12">
                  <c:v>15.631739047383336</c:v>
                </c:pt>
                <c:pt idx="13">
                  <c:v>0.76417968270346592</c:v>
                </c:pt>
                <c:pt idx="14">
                  <c:v>27.770828220758066</c:v>
                </c:pt>
                <c:pt idx="15">
                  <c:v>8.6808582314994798</c:v>
                </c:pt>
                <c:pt idx="16">
                  <c:v>20.50226309587941</c:v>
                </c:pt>
              </c:numCache>
            </c:numRef>
          </c:cat>
          <c:val>
            <c:numRef>
              <c:f>'Histogram Data'!$B$1:$B$17</c:f>
              <c:numCache>
                <c:formatCode>General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0-4C95-4F94-B278-EF9DCB592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559871"/>
        <c:axId val="453784271"/>
      </c:barChart>
      <c:catAx>
        <c:axId val="447559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84271"/>
        <c:crosses val="autoZero"/>
        <c:auto val="1"/>
        <c:lblAlgn val="ctr"/>
        <c:lblOffset val="100"/>
        <c:noMultiLvlLbl val="0"/>
      </c:catAx>
      <c:valAx>
        <c:axId val="45378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598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CD97751B-F786-44BC-8A35-495008BBD39C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3"/>
  <sheetViews>
    <sheetView zoomScale="13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264900" cy="8178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565150</xdr:colOff>
          <xdr:row>1</xdr:row>
          <xdr:rowOff>177800</xdr:rowOff>
        </xdr:from>
        <xdr:to>
          <xdr:col>3</xdr:col>
          <xdr:colOff>457200</xdr:colOff>
          <xdr:row>4</xdr:row>
          <xdr:rowOff>50800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921</xdr:row>
          <xdr:rowOff>38100</xdr:rowOff>
        </xdr:from>
        <xdr:to>
          <xdr:col>7</xdr:col>
          <xdr:colOff>501650</xdr:colOff>
          <xdr:row>925</xdr:row>
          <xdr:rowOff>101600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231775</xdr:colOff>
      <xdr:row>5</xdr:row>
      <xdr:rowOff>123825</xdr:rowOff>
    </xdr:from>
    <xdr:to>
      <xdr:col>8</xdr:col>
      <xdr:colOff>536575</xdr:colOff>
      <xdr:row>20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A03EAF56-AA06-49A4-EEEA-5E104AF333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9675" y="10445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7FD-14D6-4C4E-8F74-94308E8F7804}">
  <sheetPr codeName="Sheet1"/>
  <dimension ref="A1:P40"/>
  <sheetViews>
    <sheetView zoomScaleNormal="100" workbookViewId="0">
      <selection activeCell="F31" sqref="F31"/>
    </sheetView>
  </sheetViews>
  <sheetFormatPr defaultRowHeight="14.5" x14ac:dyDescent="0.35"/>
  <cols>
    <col min="1" max="1" width="19.1796875" bestFit="1" customWidth="1"/>
    <col min="2" max="2" width="11.81640625" bestFit="1" customWidth="1"/>
    <col min="3" max="3" width="13.1796875" customWidth="1"/>
    <col min="4" max="4" width="9.81640625" bestFit="1" customWidth="1"/>
    <col min="5" max="5" width="10.453125" bestFit="1" customWidth="1"/>
    <col min="6" max="6" width="10.7265625" customWidth="1"/>
    <col min="7" max="7" width="11.81640625" bestFit="1" customWidth="1"/>
    <col min="8" max="8" width="11" customWidth="1"/>
    <col min="9" max="10" width="9.1796875" bestFit="1" customWidth="1"/>
  </cols>
  <sheetData>
    <row r="1" spans="1:16" x14ac:dyDescent="0.35">
      <c r="A1" t="s">
        <v>0</v>
      </c>
    </row>
    <row r="2" spans="1:16" ht="15" thickBot="1" x14ac:dyDescent="0.4"/>
    <row r="3" spans="1:16" x14ac:dyDescent="0.35">
      <c r="A3" t="s">
        <v>1</v>
      </c>
      <c r="B3" s="4">
        <v>-5</v>
      </c>
      <c r="D3" t="s">
        <v>2</v>
      </c>
      <c r="E3" s="5">
        <v>41.231324735493054</v>
      </c>
      <c r="G3" t="s">
        <v>3</v>
      </c>
      <c r="H3" s="6">
        <v>-7.3365308548162496</v>
      </c>
    </row>
    <row r="4" spans="1:16" ht="15" thickBot="1" x14ac:dyDescent="0.4">
      <c r="A4" t="s">
        <v>4</v>
      </c>
      <c r="B4" s="7">
        <v>-14.220055537312254</v>
      </c>
      <c r="D4" t="s">
        <v>5</v>
      </c>
      <c r="E4" s="8">
        <v>0.4</v>
      </c>
      <c r="G4" t="s">
        <v>6</v>
      </c>
      <c r="H4" s="9">
        <v>0.1477146863937378</v>
      </c>
    </row>
    <row r="5" spans="1:16" x14ac:dyDescent="0.35">
      <c r="A5" t="s">
        <v>7</v>
      </c>
      <c r="B5" s="10">
        <v>-83.728600646448669</v>
      </c>
    </row>
    <row r="6" spans="1:16" x14ac:dyDescent="0.35">
      <c r="A6" t="s">
        <v>8</v>
      </c>
      <c r="B6" s="10">
        <v>-20.009026348590851</v>
      </c>
      <c r="E6" t="s">
        <v>9</v>
      </c>
    </row>
    <row r="7" spans="1:16" ht="15" thickBot="1" x14ac:dyDescent="0.4">
      <c r="A7" t="s">
        <v>10</v>
      </c>
      <c r="B7" s="11">
        <v>-15.996862475177842</v>
      </c>
      <c r="E7" t="s">
        <v>11</v>
      </c>
    </row>
    <row r="8" spans="1:16" x14ac:dyDescent="0.35">
      <c r="M8" t="s">
        <v>12</v>
      </c>
    </row>
    <row r="9" spans="1:16" x14ac:dyDescent="0.3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5">
      <c r="A10">
        <v>1</v>
      </c>
      <c r="B10" s="12">
        <f t="shared" ref="B10:B24" si="0">0.5*CTDC</f>
        <v>-41.864300323224334</v>
      </c>
      <c r="C10" s="12">
        <f t="shared" ref="C10:C24" si="1">WC</f>
        <v>-20.009026348590851</v>
      </c>
      <c r="D10" s="12">
        <f t="shared" ref="D10:D24" si="2">Cland</f>
        <v>-5</v>
      </c>
      <c r="E10" s="12">
        <f>Croyal</f>
        <v>-14.220055537312254</v>
      </c>
      <c r="F10" s="12">
        <f t="shared" ref="F10:F24" si="3">Cstart</f>
        <v>-15.996862475177842</v>
      </c>
      <c r="G10" s="12"/>
      <c r="H10" s="12">
        <f>P10*-CTDC</f>
        <v>0</v>
      </c>
      <c r="I10" s="12"/>
      <c r="J10" s="12"/>
      <c r="L10">
        <f>B10+D10</f>
        <v>-46.864300323224334</v>
      </c>
      <c r="M10" s="12">
        <f t="shared" ref="M10:M24" si="4">L10/(1+i)^(A10-1)</f>
        <v>-46.864300323224334</v>
      </c>
      <c r="N10" s="12">
        <f>M10</f>
        <v>-46.864300323224334</v>
      </c>
    </row>
    <row r="11" spans="1:16" x14ac:dyDescent="0.35">
      <c r="A11">
        <v>2</v>
      </c>
      <c r="B11" s="12">
        <f t="shared" si="0"/>
        <v>-41.864300323224334</v>
      </c>
      <c r="C11" s="12">
        <f t="shared" si="1"/>
        <v>-20.009026348590851</v>
      </c>
      <c r="D11" s="12">
        <f t="shared" si="2"/>
        <v>-5</v>
      </c>
      <c r="E11" s="12">
        <f>Croyal</f>
        <v>-14.220055537312254</v>
      </c>
      <c r="F11" s="12">
        <f t="shared" si="3"/>
        <v>-15.996862475177842</v>
      </c>
      <c r="G11" s="12"/>
      <c r="H11" s="12">
        <f>P11*-CTDC</f>
        <v>0</v>
      </c>
      <c r="I11" s="12"/>
      <c r="J11" s="12"/>
      <c r="L11">
        <f>B12+C12+F11</f>
        <v>-77.870189146993027</v>
      </c>
      <c r="M11" s="12">
        <f t="shared" si="4"/>
        <v>-67.848037556852077</v>
      </c>
      <c r="N11" s="12">
        <f>N10+M11</f>
        <v>-114.7123378800764</v>
      </c>
    </row>
    <row r="12" spans="1:16" x14ac:dyDescent="0.35">
      <c r="A12">
        <v>3</v>
      </c>
      <c r="B12" s="12">
        <f t="shared" si="0"/>
        <v>-41.864300323224334</v>
      </c>
      <c r="C12" s="12">
        <f t="shared" si="1"/>
        <v>-20.009026348590851</v>
      </c>
      <c r="D12" s="12">
        <f t="shared" si="2"/>
        <v>-5</v>
      </c>
      <c r="E12" s="12">
        <f>Croyal</f>
        <v>-14.220055537312254</v>
      </c>
      <c r="F12" s="12">
        <f t="shared" si="3"/>
        <v>-15.996862475177842</v>
      </c>
      <c r="G12" s="12"/>
      <c r="H12" s="12">
        <f>P12*-CTDC</f>
        <v>11.964817032377514</v>
      </c>
      <c r="I12" s="12">
        <f>0.5*S</f>
        <v>20.615662367746527</v>
      </c>
      <c r="J12" s="12">
        <f>0.5*COS</f>
        <v>-3.6682654274081248</v>
      </c>
      <c r="K12" s="12">
        <f>(1-tax)*(I12-J12-H12)</f>
        <v>7.391466457666283</v>
      </c>
      <c r="L12" s="12">
        <f t="shared" ref="L12:L23" si="5">K12+H12+E12</f>
        <v>5.1362279527315433</v>
      </c>
      <c r="M12" s="12">
        <f t="shared" si="4"/>
        <v>3.899208082460877</v>
      </c>
      <c r="N12" s="12">
        <f t="shared" ref="N12:N23" si="6">N11+M12</f>
        <v>-110.81312979761553</v>
      </c>
      <c r="P12" s="13">
        <v>0.1429</v>
      </c>
    </row>
    <row r="13" spans="1:16" x14ac:dyDescent="0.35">
      <c r="A13">
        <v>4</v>
      </c>
      <c r="B13" s="12">
        <f t="shared" si="0"/>
        <v>-41.864300323224334</v>
      </c>
      <c r="C13" s="12">
        <f t="shared" si="1"/>
        <v>-20.009026348590851</v>
      </c>
      <c r="D13" s="12">
        <f t="shared" si="2"/>
        <v>-5</v>
      </c>
      <c r="E13" s="12">
        <f t="shared" ref="E13:E24" si="7">Croyal</f>
        <v>-14.220055537312254</v>
      </c>
      <c r="F13" s="12">
        <f t="shared" si="3"/>
        <v>-15.996862475177842</v>
      </c>
      <c r="G13" s="12"/>
      <c r="H13" s="12">
        <f t="shared" ref="H13:H24" si="8">P13*-CTDC</f>
        <v>20.50513429831528</v>
      </c>
      <c r="I13" s="12">
        <f>0.8*S</f>
        <v>32.985059788394445</v>
      </c>
      <c r="J13" s="12">
        <f>0.8*COS</f>
        <v>-5.869224683853</v>
      </c>
      <c r="K13" s="12">
        <f t="shared" ref="K13:K24" si="9">(1-tax)*(I13-J13-H13)</f>
        <v>11.009490104359298</v>
      </c>
      <c r="L13" s="12">
        <f t="shared" si="5"/>
        <v>17.294568865362322</v>
      </c>
      <c r="M13" s="12">
        <f t="shared" si="4"/>
        <v>11.439523189217487</v>
      </c>
      <c r="N13" s="12">
        <f t="shared" si="6"/>
        <v>-99.373606608398049</v>
      </c>
      <c r="P13" s="13">
        <v>0.24490000000000001</v>
      </c>
    </row>
    <row r="14" spans="1:16" x14ac:dyDescent="0.35">
      <c r="A14">
        <v>5</v>
      </c>
      <c r="B14" s="12">
        <f t="shared" si="0"/>
        <v>-41.864300323224334</v>
      </c>
      <c r="C14" s="12">
        <f t="shared" si="1"/>
        <v>-20.009026348590851</v>
      </c>
      <c r="D14" s="12">
        <f t="shared" si="2"/>
        <v>-5</v>
      </c>
      <c r="E14" s="12">
        <f t="shared" si="7"/>
        <v>-14.220055537312254</v>
      </c>
      <c r="F14" s="12">
        <f t="shared" si="3"/>
        <v>-15.996862475177842</v>
      </c>
      <c r="G14" s="12"/>
      <c r="H14" s="12">
        <f t="shared" si="8"/>
        <v>14.644132253063873</v>
      </c>
      <c r="I14" s="12">
        <f t="shared" ref="I14:I24" si="10">S</f>
        <v>41.231324735493054</v>
      </c>
      <c r="J14" s="12">
        <f t="shared" ref="J14:J24" si="11">COS</f>
        <v>-7.3365308548162496</v>
      </c>
      <c r="K14" s="12">
        <f t="shared" si="9"/>
        <v>20.354234002347258</v>
      </c>
      <c r="L14" s="12">
        <f t="shared" si="5"/>
        <v>20.778310718098872</v>
      </c>
      <c r="M14" s="12">
        <f t="shared" si="4"/>
        <v>11.974971277476651</v>
      </c>
      <c r="N14" s="12">
        <f t="shared" si="6"/>
        <v>-87.398635330921394</v>
      </c>
      <c r="P14" s="13">
        <v>0.1749</v>
      </c>
    </row>
    <row r="15" spans="1:16" x14ac:dyDescent="0.35">
      <c r="A15">
        <v>6</v>
      </c>
      <c r="B15" s="12">
        <f t="shared" si="0"/>
        <v>-41.864300323224334</v>
      </c>
      <c r="C15" s="12">
        <f t="shared" si="1"/>
        <v>-20.009026348590851</v>
      </c>
      <c r="D15" s="12">
        <f t="shared" si="2"/>
        <v>-5</v>
      </c>
      <c r="E15" s="12">
        <f t="shared" si="7"/>
        <v>-14.220055537312254</v>
      </c>
      <c r="F15" s="12">
        <f t="shared" si="3"/>
        <v>-15.996862475177842</v>
      </c>
      <c r="G15" s="12"/>
      <c r="H15" s="12">
        <f t="shared" si="8"/>
        <v>10.457702220741439</v>
      </c>
      <c r="I15" s="12">
        <f t="shared" si="10"/>
        <v>41.231324735493054</v>
      </c>
      <c r="J15" s="12">
        <f t="shared" si="11"/>
        <v>-7.3365308548162496</v>
      </c>
      <c r="K15" s="12">
        <f t="shared" si="9"/>
        <v>22.86609202174072</v>
      </c>
      <c r="L15" s="12">
        <f t="shared" si="5"/>
        <v>19.103738705169903</v>
      </c>
      <c r="M15" s="12">
        <f t="shared" si="4"/>
        <v>9.5928725465705238</v>
      </c>
      <c r="N15" s="12">
        <f t="shared" si="6"/>
        <v>-77.805762784350875</v>
      </c>
      <c r="P15" s="13">
        <v>0.1249</v>
      </c>
    </row>
    <row r="16" spans="1:16" x14ac:dyDescent="0.35">
      <c r="A16">
        <v>7</v>
      </c>
      <c r="B16" s="12">
        <f t="shared" si="0"/>
        <v>-41.864300323224334</v>
      </c>
      <c r="C16" s="12">
        <f t="shared" si="1"/>
        <v>-20.009026348590851</v>
      </c>
      <c r="D16" s="12">
        <f t="shared" si="2"/>
        <v>-5</v>
      </c>
      <c r="E16" s="12">
        <f t="shared" si="7"/>
        <v>-14.220055537312254</v>
      </c>
      <c r="F16" s="12">
        <f t="shared" si="3"/>
        <v>-15.996862475177842</v>
      </c>
      <c r="G16" s="12"/>
      <c r="H16" s="12">
        <f t="shared" si="8"/>
        <v>7.4769640377278668</v>
      </c>
      <c r="I16" s="12">
        <f t="shared" si="10"/>
        <v>41.231324735493054</v>
      </c>
      <c r="J16" s="12">
        <f t="shared" si="11"/>
        <v>-7.3365308548162496</v>
      </c>
      <c r="K16" s="12">
        <f t="shared" si="9"/>
        <v>24.654534931548863</v>
      </c>
      <c r="L16" s="12">
        <f t="shared" si="5"/>
        <v>17.911443431964472</v>
      </c>
      <c r="M16" s="12">
        <f t="shared" si="4"/>
        <v>7.8365868633107345</v>
      </c>
      <c r="N16" s="12">
        <f t="shared" si="6"/>
        <v>-69.969175921040147</v>
      </c>
      <c r="P16" s="13">
        <v>8.9300000000000004E-2</v>
      </c>
    </row>
    <row r="17" spans="1:16" x14ac:dyDescent="0.35">
      <c r="A17">
        <v>8</v>
      </c>
      <c r="B17" s="12">
        <f t="shared" si="0"/>
        <v>-41.864300323224334</v>
      </c>
      <c r="C17" s="12">
        <f t="shared" si="1"/>
        <v>-20.009026348590851</v>
      </c>
      <c r="D17" s="12">
        <f t="shared" si="2"/>
        <v>-5</v>
      </c>
      <c r="E17" s="12">
        <f t="shared" si="7"/>
        <v>-14.220055537312254</v>
      </c>
      <c r="F17" s="12">
        <f t="shared" si="3"/>
        <v>-15.996862475177842</v>
      </c>
      <c r="G17" s="12"/>
      <c r="H17" s="12">
        <f t="shared" si="8"/>
        <v>7.468591177663221</v>
      </c>
      <c r="I17" s="12">
        <f t="shared" si="10"/>
        <v>41.231324735493054</v>
      </c>
      <c r="J17" s="12">
        <f t="shared" si="11"/>
        <v>-7.3365308548162496</v>
      </c>
      <c r="K17" s="12">
        <f t="shared" si="9"/>
        <v>24.659558647587652</v>
      </c>
      <c r="L17" s="12">
        <f t="shared" si="5"/>
        <v>17.908094287938617</v>
      </c>
      <c r="M17" s="12">
        <f t="shared" si="4"/>
        <v>6.8267154231912333</v>
      </c>
      <c r="N17" s="12">
        <f t="shared" si="6"/>
        <v>-63.142460497848916</v>
      </c>
      <c r="P17" s="13">
        <v>8.9200000000000002E-2</v>
      </c>
    </row>
    <row r="18" spans="1:16" x14ac:dyDescent="0.35">
      <c r="A18">
        <v>9</v>
      </c>
      <c r="B18" s="12">
        <f t="shared" si="0"/>
        <v>-41.864300323224334</v>
      </c>
      <c r="C18" s="12">
        <f t="shared" si="1"/>
        <v>-20.009026348590851</v>
      </c>
      <c r="D18" s="12">
        <f t="shared" si="2"/>
        <v>-5</v>
      </c>
      <c r="E18" s="12">
        <f t="shared" si="7"/>
        <v>-14.220055537312254</v>
      </c>
      <c r="F18" s="12">
        <f t="shared" si="3"/>
        <v>-15.996862475177842</v>
      </c>
      <c r="G18" s="12"/>
      <c r="H18" s="12">
        <f t="shared" si="8"/>
        <v>7.4769640377278668</v>
      </c>
      <c r="I18" s="12">
        <f t="shared" si="10"/>
        <v>41.231324735493054</v>
      </c>
      <c r="J18" s="12">
        <f t="shared" si="11"/>
        <v>-7.3365308548162496</v>
      </c>
      <c r="K18" s="12">
        <f t="shared" si="9"/>
        <v>24.654534931548863</v>
      </c>
      <c r="L18" s="12">
        <f t="shared" si="5"/>
        <v>17.911443431964472</v>
      </c>
      <c r="M18" s="12">
        <f t="shared" si="4"/>
        <v>5.9492069116748274</v>
      </c>
      <c r="N18" s="12">
        <f t="shared" si="6"/>
        <v>-57.193253586174087</v>
      </c>
      <c r="P18" s="13">
        <v>8.9300000000000004E-2</v>
      </c>
    </row>
    <row r="19" spans="1:16" x14ac:dyDescent="0.35">
      <c r="A19">
        <v>10</v>
      </c>
      <c r="B19" s="12">
        <f t="shared" si="0"/>
        <v>-41.864300323224334</v>
      </c>
      <c r="C19" s="12">
        <f t="shared" si="1"/>
        <v>-20.009026348590851</v>
      </c>
      <c r="D19" s="12">
        <f t="shared" si="2"/>
        <v>-5</v>
      </c>
      <c r="E19" s="12">
        <f t="shared" si="7"/>
        <v>-14.220055537312254</v>
      </c>
      <c r="F19" s="12">
        <f t="shared" si="3"/>
        <v>-15.996862475177842</v>
      </c>
      <c r="G19" s="12"/>
      <c r="H19" s="12">
        <f t="shared" si="8"/>
        <v>3.7342955888316105</v>
      </c>
      <c r="I19" s="12">
        <f t="shared" si="10"/>
        <v>41.231324735493054</v>
      </c>
      <c r="J19" s="12">
        <f t="shared" si="11"/>
        <v>-7.3365308548162496</v>
      </c>
      <c r="K19" s="12">
        <f t="shared" si="9"/>
        <v>26.900136000886615</v>
      </c>
      <c r="L19" s="12">
        <f t="shared" si="5"/>
        <v>16.41437605240597</v>
      </c>
      <c r="M19" s="12">
        <f t="shared" si="4"/>
        <v>4.7502769208782043</v>
      </c>
      <c r="N19" s="12">
        <f t="shared" si="6"/>
        <v>-52.44297666529588</v>
      </c>
      <c r="P19" s="13">
        <v>4.4600000000000001E-2</v>
      </c>
    </row>
    <row r="20" spans="1:16" x14ac:dyDescent="0.35">
      <c r="A20">
        <v>11</v>
      </c>
      <c r="B20" s="12">
        <f t="shared" si="0"/>
        <v>-41.864300323224334</v>
      </c>
      <c r="C20" s="12">
        <f t="shared" si="1"/>
        <v>-20.009026348590851</v>
      </c>
      <c r="D20" s="12">
        <f t="shared" si="2"/>
        <v>-5</v>
      </c>
      <c r="E20" s="12">
        <f t="shared" si="7"/>
        <v>-14.220055537312254</v>
      </c>
      <c r="F20" s="12">
        <f t="shared" si="3"/>
        <v>-15.996862475177842</v>
      </c>
      <c r="G20" s="12"/>
      <c r="H20" s="12">
        <f t="shared" si="8"/>
        <v>0</v>
      </c>
      <c r="I20" s="12">
        <f t="shared" si="10"/>
        <v>41.231324735493054</v>
      </c>
      <c r="J20" s="12">
        <f t="shared" si="11"/>
        <v>-7.3365308548162496</v>
      </c>
      <c r="K20" s="12">
        <f t="shared" si="9"/>
        <v>29.140713354185582</v>
      </c>
      <c r="L20" s="12">
        <f t="shared" si="5"/>
        <v>14.920657816873328</v>
      </c>
      <c r="M20" s="12">
        <f t="shared" si="4"/>
        <v>3.7622580542206947</v>
      </c>
      <c r="N20" s="12">
        <f t="shared" si="6"/>
        <v>-48.680718611075186</v>
      </c>
    </row>
    <row r="21" spans="1:16" x14ac:dyDescent="0.35">
      <c r="A21">
        <v>12</v>
      </c>
      <c r="B21" s="12">
        <f t="shared" si="0"/>
        <v>-41.864300323224334</v>
      </c>
      <c r="C21" s="12">
        <f t="shared" si="1"/>
        <v>-20.009026348590851</v>
      </c>
      <c r="D21" s="12">
        <f t="shared" si="2"/>
        <v>-5</v>
      </c>
      <c r="E21" s="12">
        <f t="shared" si="7"/>
        <v>-14.220055537312254</v>
      </c>
      <c r="F21" s="12">
        <f t="shared" si="3"/>
        <v>-15.996862475177842</v>
      </c>
      <c r="G21" s="12"/>
      <c r="H21" s="12">
        <f t="shared" si="8"/>
        <v>0</v>
      </c>
      <c r="I21" s="12">
        <f t="shared" si="10"/>
        <v>41.231324735493054</v>
      </c>
      <c r="J21" s="12">
        <f t="shared" si="11"/>
        <v>-7.3365308548162496</v>
      </c>
      <c r="K21" s="12">
        <f t="shared" si="9"/>
        <v>29.140713354185582</v>
      </c>
      <c r="L21" s="12">
        <f t="shared" si="5"/>
        <v>14.920657816873328</v>
      </c>
      <c r="M21" s="12">
        <f t="shared" si="4"/>
        <v>3.2780429655755103</v>
      </c>
      <c r="N21" s="12">
        <f t="shared" si="6"/>
        <v>-45.402675645499677</v>
      </c>
    </row>
    <row r="22" spans="1:16" x14ac:dyDescent="0.35">
      <c r="A22">
        <v>13</v>
      </c>
      <c r="B22" s="12">
        <f t="shared" si="0"/>
        <v>-41.864300323224334</v>
      </c>
      <c r="C22" s="12">
        <f t="shared" si="1"/>
        <v>-20.009026348590851</v>
      </c>
      <c r="D22" s="12">
        <f t="shared" si="2"/>
        <v>-5</v>
      </c>
      <c r="E22" s="12">
        <f t="shared" si="7"/>
        <v>-14.220055537312254</v>
      </c>
      <c r="F22" s="12">
        <f t="shared" si="3"/>
        <v>-15.996862475177842</v>
      </c>
      <c r="G22" s="12"/>
      <c r="H22" s="12">
        <f t="shared" si="8"/>
        <v>0</v>
      </c>
      <c r="I22" s="12">
        <f t="shared" si="10"/>
        <v>41.231324735493054</v>
      </c>
      <c r="J22" s="12">
        <f t="shared" si="11"/>
        <v>-7.3365308548162496</v>
      </c>
      <c r="K22" s="12">
        <f t="shared" si="9"/>
        <v>29.140713354185582</v>
      </c>
      <c r="L22" s="12">
        <f t="shared" si="5"/>
        <v>14.920657816873328</v>
      </c>
      <c r="M22" s="12">
        <f t="shared" si="4"/>
        <v>2.8561479646788599</v>
      </c>
      <c r="N22" s="12">
        <f t="shared" si="6"/>
        <v>-42.546527680820816</v>
      </c>
    </row>
    <row r="23" spans="1:16" ht="15" thickBot="1" x14ac:dyDescent="0.4">
      <c r="A23">
        <v>14</v>
      </c>
      <c r="B23" s="12">
        <f t="shared" si="0"/>
        <v>-41.864300323224334</v>
      </c>
      <c r="C23" s="12">
        <f t="shared" si="1"/>
        <v>-20.009026348590851</v>
      </c>
      <c r="D23" s="12">
        <f t="shared" si="2"/>
        <v>-5</v>
      </c>
      <c r="E23" s="12">
        <f t="shared" si="7"/>
        <v>-14.220055537312254</v>
      </c>
      <c r="F23" s="12">
        <f t="shared" si="3"/>
        <v>-15.996862475177842</v>
      </c>
      <c r="G23" s="12"/>
      <c r="H23" s="12">
        <f t="shared" si="8"/>
        <v>0</v>
      </c>
      <c r="I23" s="12">
        <f t="shared" si="10"/>
        <v>41.231324735493054</v>
      </c>
      <c r="J23" s="12">
        <f t="shared" si="11"/>
        <v>-7.3365308548162496</v>
      </c>
      <c r="K23" s="12">
        <f t="shared" si="9"/>
        <v>29.140713354185582</v>
      </c>
      <c r="L23" s="12">
        <f t="shared" si="5"/>
        <v>14.920657816873328</v>
      </c>
      <c r="M23" s="12">
        <f t="shared" si="4"/>
        <v>2.4885522495605876</v>
      </c>
      <c r="N23" s="12">
        <f t="shared" si="6"/>
        <v>-40.057975431260232</v>
      </c>
    </row>
    <row r="24" spans="1:16" ht="15" thickBot="1" x14ac:dyDescent="0.4">
      <c r="A24">
        <v>15</v>
      </c>
      <c r="B24" s="12">
        <f t="shared" si="0"/>
        <v>-41.864300323224334</v>
      </c>
      <c r="C24" s="12">
        <f t="shared" si="1"/>
        <v>-20.009026348590851</v>
      </c>
      <c r="D24" s="12">
        <f t="shared" si="2"/>
        <v>-5</v>
      </c>
      <c r="E24" s="12">
        <f t="shared" si="7"/>
        <v>-14.220055537312254</v>
      </c>
      <c r="F24" s="12">
        <f t="shared" si="3"/>
        <v>-15.996862475177842</v>
      </c>
      <c r="G24" s="12"/>
      <c r="H24" s="12">
        <f t="shared" si="8"/>
        <v>0</v>
      </c>
      <c r="I24" s="12">
        <f t="shared" si="10"/>
        <v>41.231324735493054</v>
      </c>
      <c r="J24" s="12">
        <f t="shared" si="11"/>
        <v>-7.3365308548162496</v>
      </c>
      <c r="K24" s="12">
        <f t="shared" si="9"/>
        <v>29.140713354185582</v>
      </c>
      <c r="L24" s="12">
        <f>C24+K24+G24+E24</f>
        <v>-5.0883685317175225</v>
      </c>
      <c r="M24" s="12">
        <f t="shared" si="4"/>
        <v>-0.7394408038408038</v>
      </c>
      <c r="N24" s="14">
        <f>N23+M24</f>
        <v>-40.797416235101039</v>
      </c>
    </row>
    <row r="25" spans="1:16" x14ac:dyDescent="0.35">
      <c r="C25" s="3"/>
      <c r="D25" s="2"/>
      <c r="E25" s="1"/>
      <c r="F25" s="2"/>
      <c r="G25" s="1"/>
      <c r="H25" s="1"/>
    </row>
    <row r="26" spans="1:16" x14ac:dyDescent="0.35">
      <c r="C26" s="3"/>
      <c r="D26" s="2"/>
      <c r="E26" s="1"/>
      <c r="F26" s="2"/>
      <c r="G26" s="1"/>
      <c r="H26" s="1"/>
    </row>
    <row r="27" spans="1:16" x14ac:dyDescent="0.35">
      <c r="C27" s="3"/>
      <c r="D27" s="2"/>
      <c r="E27" s="1"/>
      <c r="F27" s="2"/>
      <c r="G27" s="1"/>
      <c r="H27" s="1"/>
    </row>
    <row r="40" spans="3:3" ht="18.5" x14ac:dyDescent="0.45">
      <c r="C40" s="1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1000"/>
  <sheetViews>
    <sheetView tabSelected="1" zoomScaleNormal="100" workbookViewId="0">
      <selection activeCell="J25" sqref="J25"/>
    </sheetView>
  </sheetViews>
  <sheetFormatPr defaultRowHeight="14.5" x14ac:dyDescent="0.35"/>
  <cols>
    <col min="1" max="1" width="14" style="12" customWidth="1"/>
  </cols>
  <sheetData>
    <row r="1" spans="1:1" x14ac:dyDescent="0.35">
      <c r="A1" s="12">
        <v>4.491978645686749</v>
      </c>
    </row>
    <row r="2" spans="1:1" x14ac:dyDescent="0.35">
      <c r="A2" s="12">
        <v>0.21084765308449954</v>
      </c>
    </row>
    <row r="3" spans="1:1" x14ac:dyDescent="0.35">
      <c r="A3" s="12">
        <v>1.8317037983558853</v>
      </c>
    </row>
    <row r="4" spans="1:1" x14ac:dyDescent="0.35">
      <c r="A4" s="12">
        <v>9.3679100970338549</v>
      </c>
    </row>
    <row r="5" spans="1:1" x14ac:dyDescent="0.35">
      <c r="A5" s="12">
        <v>4.9091668298359323</v>
      </c>
    </row>
    <row r="6" spans="1:1" x14ac:dyDescent="0.35">
      <c r="A6" s="12">
        <v>11.687198480524135</v>
      </c>
    </row>
    <row r="7" spans="1:1" x14ac:dyDescent="0.35">
      <c r="A7" s="12">
        <v>-2.0915761857598252</v>
      </c>
    </row>
    <row r="8" spans="1:1" x14ac:dyDescent="0.35">
      <c r="A8" s="12">
        <v>37.259436332475723</v>
      </c>
    </row>
    <row r="9" spans="1:1" x14ac:dyDescent="0.35">
      <c r="A9" s="12">
        <v>-4.9921939796798442</v>
      </c>
    </row>
    <row r="10" spans="1:1" x14ac:dyDescent="0.35">
      <c r="A10" s="12">
        <v>11.754522686360893</v>
      </c>
    </row>
    <row r="11" spans="1:1" x14ac:dyDescent="0.35">
      <c r="A11" s="12">
        <v>-8.2917824536496987</v>
      </c>
    </row>
    <row r="12" spans="1:1" x14ac:dyDescent="0.35">
      <c r="A12" s="12">
        <v>16.540440867453501</v>
      </c>
    </row>
    <row r="13" spans="1:1" x14ac:dyDescent="0.35">
      <c r="A13" s="12">
        <v>15.631739047383336</v>
      </c>
    </row>
    <row r="14" spans="1:1" x14ac:dyDescent="0.35">
      <c r="A14" s="12">
        <v>0.76417968270346592</v>
      </c>
    </row>
    <row r="15" spans="1:1" x14ac:dyDescent="0.35">
      <c r="A15" s="12">
        <v>27.770828220758066</v>
      </c>
    </row>
    <row r="16" spans="1:1" x14ac:dyDescent="0.35">
      <c r="A16" s="12">
        <v>8.6808582314994798</v>
      </c>
    </row>
    <row r="17" spans="1:1" x14ac:dyDescent="0.35">
      <c r="A17" s="12">
        <v>20.50226309587941</v>
      </c>
    </row>
    <row r="18" spans="1:1" x14ac:dyDescent="0.35">
      <c r="A18" s="12">
        <v>15.232418898420818</v>
      </c>
    </row>
    <row r="19" spans="1:1" x14ac:dyDescent="0.35">
      <c r="A19" s="12">
        <v>16.636530450339322</v>
      </c>
    </row>
    <row r="20" spans="1:1" x14ac:dyDescent="0.35">
      <c r="A20" s="12">
        <v>8.190200992951949</v>
      </c>
    </row>
    <row r="21" spans="1:1" x14ac:dyDescent="0.35">
      <c r="A21" s="12">
        <v>4.9116893807127244</v>
      </c>
    </row>
    <row r="22" spans="1:1" x14ac:dyDescent="0.35">
      <c r="A22" s="12">
        <v>1.7007841957027456</v>
      </c>
    </row>
    <row r="23" spans="1:1" x14ac:dyDescent="0.35">
      <c r="A23" s="12">
        <v>3.1929246593713887</v>
      </c>
    </row>
    <row r="24" spans="1:1" x14ac:dyDescent="0.35">
      <c r="A24" s="12">
        <v>7.2511879490831355</v>
      </c>
    </row>
    <row r="25" spans="1:1" x14ac:dyDescent="0.35">
      <c r="A25" s="12">
        <v>13.685956818595169</v>
      </c>
    </row>
    <row r="26" spans="1:1" x14ac:dyDescent="0.35">
      <c r="A26" s="12">
        <v>3.0681562241701101</v>
      </c>
    </row>
    <row r="27" spans="1:1" x14ac:dyDescent="0.35">
      <c r="A27" s="12">
        <v>-11.300373095855653</v>
      </c>
    </row>
    <row r="28" spans="1:1" x14ac:dyDescent="0.35">
      <c r="A28" s="12">
        <v>1.0030391969257548</v>
      </c>
    </row>
    <row r="29" spans="1:1" x14ac:dyDescent="0.35">
      <c r="A29" s="12">
        <v>8.0159975808278983</v>
      </c>
    </row>
    <row r="30" spans="1:1" x14ac:dyDescent="0.35">
      <c r="A30" s="12">
        <v>12.266823325528424</v>
      </c>
    </row>
    <row r="31" spans="1:1" x14ac:dyDescent="0.35">
      <c r="A31" s="12">
        <v>10.152431930444509</v>
      </c>
    </row>
    <row r="32" spans="1:1" x14ac:dyDescent="0.35">
      <c r="A32" s="12">
        <v>-21.563934581077064</v>
      </c>
    </row>
    <row r="33" spans="1:1" x14ac:dyDescent="0.35">
      <c r="A33" s="12">
        <v>10.678106942030455</v>
      </c>
    </row>
    <row r="34" spans="1:1" x14ac:dyDescent="0.35">
      <c r="A34" s="12">
        <v>0.92233716070415817</v>
      </c>
    </row>
    <row r="35" spans="1:1" x14ac:dyDescent="0.35">
      <c r="A35" s="12">
        <v>12.08315835344113</v>
      </c>
    </row>
    <row r="36" spans="1:1" x14ac:dyDescent="0.35">
      <c r="A36" s="12">
        <v>-3.4423797076248879</v>
      </c>
    </row>
    <row r="37" spans="1:1" x14ac:dyDescent="0.35">
      <c r="A37" s="12">
        <v>0.62106704912748545</v>
      </c>
    </row>
    <row r="38" spans="1:1" x14ac:dyDescent="0.35">
      <c r="A38" s="12">
        <v>-4.8288323326618769</v>
      </c>
    </row>
    <row r="39" spans="1:1" x14ac:dyDescent="0.35">
      <c r="A39" s="12">
        <v>0.66784341865719277</v>
      </c>
    </row>
    <row r="40" spans="1:1" x14ac:dyDescent="0.35">
      <c r="A40" s="12">
        <v>22.566430855637432</v>
      </c>
    </row>
    <row r="41" spans="1:1" x14ac:dyDescent="0.35">
      <c r="A41" s="12">
        <v>15.186001989356454</v>
      </c>
    </row>
    <row r="42" spans="1:1" x14ac:dyDescent="0.35">
      <c r="A42" s="12">
        <v>-17.084482893114661</v>
      </c>
    </row>
    <row r="43" spans="1:1" x14ac:dyDescent="0.35">
      <c r="A43" s="12">
        <v>29.145306659772867</v>
      </c>
    </row>
    <row r="44" spans="1:1" x14ac:dyDescent="0.35">
      <c r="A44" s="12">
        <v>18.644817655152615</v>
      </c>
    </row>
    <row r="45" spans="1:1" x14ac:dyDescent="0.35">
      <c r="A45" s="12">
        <v>-6.1470265566351344E-2</v>
      </c>
    </row>
    <row r="46" spans="1:1" x14ac:dyDescent="0.35">
      <c r="A46" s="12">
        <v>-7.4367951228576974</v>
      </c>
    </row>
    <row r="47" spans="1:1" x14ac:dyDescent="0.35">
      <c r="A47" s="12">
        <v>6.6999476494173686</v>
      </c>
    </row>
    <row r="48" spans="1:1" x14ac:dyDescent="0.35">
      <c r="A48" s="12">
        <v>14.412750093662456</v>
      </c>
    </row>
    <row r="49" spans="1:1" x14ac:dyDescent="0.35">
      <c r="A49" s="12">
        <v>28.807904148691794</v>
      </c>
    </row>
    <row r="50" spans="1:1" x14ac:dyDescent="0.35">
      <c r="A50" s="12">
        <v>7.3298646514890571</v>
      </c>
    </row>
    <row r="51" spans="1:1" x14ac:dyDescent="0.35">
      <c r="A51" s="12">
        <v>1.8644365679573016</v>
      </c>
    </row>
    <row r="52" spans="1:1" x14ac:dyDescent="0.35">
      <c r="A52" s="12">
        <v>-12.37698547972651</v>
      </c>
    </row>
    <row r="53" spans="1:1" x14ac:dyDescent="0.35">
      <c r="A53" s="12">
        <v>8.6378145569924332</v>
      </c>
    </row>
    <row r="54" spans="1:1" x14ac:dyDescent="0.35">
      <c r="A54" s="12">
        <v>18.763878889210215</v>
      </c>
    </row>
    <row r="55" spans="1:1" x14ac:dyDescent="0.35">
      <c r="A55" s="12">
        <v>6.8887390128695767</v>
      </c>
    </row>
    <row r="56" spans="1:1" x14ac:dyDescent="0.35">
      <c r="A56" s="12">
        <v>10.572559421980687</v>
      </c>
    </row>
    <row r="57" spans="1:1" x14ac:dyDescent="0.35">
      <c r="A57" s="12">
        <v>14.32211871620785</v>
      </c>
    </row>
    <row r="58" spans="1:1" x14ac:dyDescent="0.35">
      <c r="A58" s="12">
        <v>1.8135288355190631</v>
      </c>
    </row>
    <row r="59" spans="1:1" x14ac:dyDescent="0.35">
      <c r="A59" s="12">
        <v>-18.88971672652746</v>
      </c>
    </row>
    <row r="60" spans="1:1" x14ac:dyDescent="0.35">
      <c r="A60" s="12">
        <v>-22.877600853158832</v>
      </c>
    </row>
    <row r="61" spans="1:1" x14ac:dyDescent="0.35">
      <c r="A61" s="12">
        <v>-13.925947590354312</v>
      </c>
    </row>
    <row r="62" spans="1:1" x14ac:dyDescent="0.35">
      <c r="A62" s="12">
        <v>13.679098548339397</v>
      </c>
    </row>
    <row r="63" spans="1:1" x14ac:dyDescent="0.35">
      <c r="A63" s="12">
        <v>18.917737370302682</v>
      </c>
    </row>
    <row r="64" spans="1:1" x14ac:dyDescent="0.35">
      <c r="A64" s="12">
        <v>3.9849990070480565</v>
      </c>
    </row>
    <row r="65" spans="1:1" x14ac:dyDescent="0.35">
      <c r="A65" s="12">
        <v>6.6070269009266065</v>
      </c>
    </row>
    <row r="66" spans="1:1" x14ac:dyDescent="0.35">
      <c r="A66" s="12">
        <v>8.4460246131889178</v>
      </c>
    </row>
    <row r="67" spans="1:1" x14ac:dyDescent="0.35">
      <c r="A67" s="12">
        <v>10.555179318724402</v>
      </c>
    </row>
    <row r="68" spans="1:1" x14ac:dyDescent="0.35">
      <c r="A68" s="12">
        <v>14.77703876597346</v>
      </c>
    </row>
    <row r="69" spans="1:1" x14ac:dyDescent="0.35">
      <c r="A69" s="12">
        <v>17.727509274715505</v>
      </c>
    </row>
    <row r="70" spans="1:1" x14ac:dyDescent="0.35">
      <c r="A70" s="12">
        <v>29.486366499395228</v>
      </c>
    </row>
    <row r="71" spans="1:1" x14ac:dyDescent="0.35">
      <c r="A71" s="12">
        <v>0.42532028894850976</v>
      </c>
    </row>
    <row r="72" spans="1:1" x14ac:dyDescent="0.35">
      <c r="A72" s="12">
        <v>27.931695304703851</v>
      </c>
    </row>
    <row r="73" spans="1:1" x14ac:dyDescent="0.35">
      <c r="A73" s="12">
        <v>-0.86644400251178511</v>
      </c>
    </row>
    <row r="74" spans="1:1" x14ac:dyDescent="0.35">
      <c r="A74" s="12">
        <v>33.125095375497729</v>
      </c>
    </row>
    <row r="75" spans="1:1" x14ac:dyDescent="0.35">
      <c r="A75" s="12">
        <v>-0.49623892634580258</v>
      </c>
    </row>
    <row r="76" spans="1:1" x14ac:dyDescent="0.35">
      <c r="A76" s="12">
        <v>7.4720681043790647</v>
      </c>
    </row>
    <row r="77" spans="1:1" x14ac:dyDescent="0.35">
      <c r="A77" s="12">
        <v>1.2380203973134332</v>
      </c>
    </row>
    <row r="78" spans="1:1" x14ac:dyDescent="0.35">
      <c r="A78" s="12">
        <v>-12.486305074027703</v>
      </c>
    </row>
    <row r="79" spans="1:1" x14ac:dyDescent="0.35">
      <c r="A79" s="12">
        <v>17.151192216806084</v>
      </c>
    </row>
    <row r="80" spans="1:1" x14ac:dyDescent="0.35">
      <c r="A80" s="12">
        <v>7.6791176200086992</v>
      </c>
    </row>
    <row r="81" spans="1:1" x14ac:dyDescent="0.35">
      <c r="A81" s="12">
        <v>30.45378098165952</v>
      </c>
    </row>
    <row r="82" spans="1:1" x14ac:dyDescent="0.35">
      <c r="A82" s="12">
        <v>-2.1206550655929752</v>
      </c>
    </row>
    <row r="83" spans="1:1" x14ac:dyDescent="0.35">
      <c r="A83" s="12">
        <v>10.51632020530726</v>
      </c>
    </row>
    <row r="84" spans="1:1" x14ac:dyDescent="0.35">
      <c r="A84" s="12">
        <v>-4.393937019297665</v>
      </c>
    </row>
    <row r="85" spans="1:1" x14ac:dyDescent="0.35">
      <c r="A85" s="12">
        <v>-7.1613661216324642</v>
      </c>
    </row>
    <row r="86" spans="1:1" x14ac:dyDescent="0.35">
      <c r="A86" s="12">
        <v>20.805264043126432</v>
      </c>
    </row>
    <row r="87" spans="1:1" x14ac:dyDescent="0.35">
      <c r="A87" s="12">
        <v>-6.3093987729998053</v>
      </c>
    </row>
    <row r="88" spans="1:1" x14ac:dyDescent="0.35">
      <c r="A88" s="12">
        <v>16.212597428185532</v>
      </c>
    </row>
    <row r="89" spans="1:1" x14ac:dyDescent="0.35">
      <c r="A89" s="12">
        <v>-3.7796596654252315</v>
      </c>
    </row>
    <row r="90" spans="1:1" x14ac:dyDescent="0.35">
      <c r="A90" s="12">
        <v>6.2846235099837431</v>
      </c>
    </row>
    <row r="91" spans="1:1" x14ac:dyDescent="0.35">
      <c r="A91" s="12">
        <v>15.88980453338821</v>
      </c>
    </row>
    <row r="92" spans="1:1" x14ac:dyDescent="0.35">
      <c r="A92" s="12">
        <v>28.118584480806707</v>
      </c>
    </row>
    <row r="93" spans="1:1" x14ac:dyDescent="0.35">
      <c r="A93" s="12">
        <v>8.1269158699827866</v>
      </c>
    </row>
    <row r="94" spans="1:1" x14ac:dyDescent="0.35">
      <c r="A94" s="12">
        <v>9.1694015939972893</v>
      </c>
    </row>
    <row r="95" spans="1:1" x14ac:dyDescent="0.35">
      <c r="A95" s="12">
        <v>12.038551081457873</v>
      </c>
    </row>
    <row r="96" spans="1:1" x14ac:dyDescent="0.35">
      <c r="A96" s="12">
        <v>6.7517621326495716</v>
      </c>
    </row>
    <row r="97" spans="1:1" x14ac:dyDescent="0.35">
      <c r="A97" s="12">
        <v>6.0403429071426027</v>
      </c>
    </row>
    <row r="98" spans="1:1" x14ac:dyDescent="0.35">
      <c r="A98" s="12">
        <v>-2.5424938799026764</v>
      </c>
    </row>
    <row r="99" spans="1:1" x14ac:dyDescent="0.35">
      <c r="A99" s="12">
        <v>-8.2584028813721115</v>
      </c>
    </row>
    <row r="100" spans="1:1" x14ac:dyDescent="0.35">
      <c r="A100" s="12">
        <v>19.843421093577906</v>
      </c>
    </row>
    <row r="101" spans="1:1" x14ac:dyDescent="0.35">
      <c r="A101" s="12">
        <v>2.3906405979559144</v>
      </c>
    </row>
    <row r="102" spans="1:1" x14ac:dyDescent="0.35">
      <c r="A102" s="12">
        <v>1.1495475836382354</v>
      </c>
    </row>
    <row r="103" spans="1:1" x14ac:dyDescent="0.35">
      <c r="A103" s="12">
        <v>7.5039939976760532</v>
      </c>
    </row>
    <row r="104" spans="1:1" x14ac:dyDescent="0.35">
      <c r="A104" s="12">
        <v>11.705870044790867</v>
      </c>
    </row>
    <row r="105" spans="1:1" x14ac:dyDescent="0.35">
      <c r="A105" s="12">
        <v>23.088007285056349</v>
      </c>
    </row>
    <row r="106" spans="1:1" x14ac:dyDescent="0.35">
      <c r="A106" s="12">
        <v>-4.7489091290719285</v>
      </c>
    </row>
    <row r="107" spans="1:1" x14ac:dyDescent="0.35">
      <c r="A107" s="12">
        <v>8.7376334436535661</v>
      </c>
    </row>
    <row r="108" spans="1:1" x14ac:dyDescent="0.35">
      <c r="A108" s="12">
        <v>17.045722316663319</v>
      </c>
    </row>
    <row r="109" spans="1:1" x14ac:dyDescent="0.35">
      <c r="A109" s="12">
        <v>3.7544634429963692</v>
      </c>
    </row>
    <row r="110" spans="1:1" x14ac:dyDescent="0.35">
      <c r="A110" s="12">
        <v>-13.25918899470537</v>
      </c>
    </row>
    <row r="111" spans="1:1" x14ac:dyDescent="0.35">
      <c r="A111" s="12">
        <v>-2.3549365825226043</v>
      </c>
    </row>
    <row r="112" spans="1:1" x14ac:dyDescent="0.35">
      <c r="A112" s="12">
        <v>8.3116885096010567</v>
      </c>
    </row>
    <row r="113" spans="1:1" x14ac:dyDescent="0.35">
      <c r="A113" s="12">
        <v>12.580168579862645</v>
      </c>
    </row>
    <row r="114" spans="1:1" x14ac:dyDescent="0.35">
      <c r="A114" s="12">
        <v>-0.90605240759576811</v>
      </c>
    </row>
    <row r="115" spans="1:1" x14ac:dyDescent="0.35">
      <c r="A115" s="12">
        <v>3.910519105947277</v>
      </c>
    </row>
    <row r="116" spans="1:1" x14ac:dyDescent="0.35">
      <c r="A116" s="12">
        <v>-9.5336539470260391</v>
      </c>
    </row>
    <row r="117" spans="1:1" x14ac:dyDescent="0.35">
      <c r="A117" s="12">
        <v>-8.3720291685291279</v>
      </c>
    </row>
    <row r="118" spans="1:1" x14ac:dyDescent="0.35">
      <c r="A118" s="12">
        <v>-13.654693306712682</v>
      </c>
    </row>
    <row r="119" spans="1:1" x14ac:dyDescent="0.35">
      <c r="A119" s="12">
        <v>-13.19898834691562</v>
      </c>
    </row>
    <row r="120" spans="1:1" x14ac:dyDescent="0.35">
      <c r="A120" s="12">
        <v>-18.191662237700488</v>
      </c>
    </row>
    <row r="121" spans="1:1" x14ac:dyDescent="0.35">
      <c r="A121" s="12">
        <v>17.697578713031426</v>
      </c>
    </row>
    <row r="122" spans="1:1" x14ac:dyDescent="0.35">
      <c r="A122" s="12">
        <v>3.7045132128913272</v>
      </c>
    </row>
    <row r="123" spans="1:1" x14ac:dyDescent="0.35">
      <c r="A123" s="12">
        <v>7.642605933032165</v>
      </c>
    </row>
    <row r="124" spans="1:1" x14ac:dyDescent="0.35">
      <c r="A124" s="12">
        <v>-4.1278068697724422</v>
      </c>
    </row>
    <row r="125" spans="1:1" x14ac:dyDescent="0.35">
      <c r="A125" s="12">
        <v>1.7888035549128596</v>
      </c>
    </row>
    <row r="126" spans="1:1" x14ac:dyDescent="0.35">
      <c r="A126" s="12">
        <v>30.080041568574288</v>
      </c>
    </row>
    <row r="127" spans="1:1" x14ac:dyDescent="0.35">
      <c r="A127" s="12">
        <v>-7.3852263166002654</v>
      </c>
    </row>
    <row r="128" spans="1:1" x14ac:dyDescent="0.35">
      <c r="A128" s="12">
        <v>8.4748064884737158</v>
      </c>
    </row>
    <row r="129" spans="1:1" x14ac:dyDescent="0.35">
      <c r="A129" s="12">
        <v>26.003481777804712</v>
      </c>
    </row>
    <row r="130" spans="1:1" x14ac:dyDescent="0.35">
      <c r="A130" s="12">
        <v>7.2170273193341927</v>
      </c>
    </row>
    <row r="131" spans="1:1" x14ac:dyDescent="0.35">
      <c r="A131" s="12">
        <v>8.6198924427979708</v>
      </c>
    </row>
    <row r="132" spans="1:1" x14ac:dyDescent="0.35">
      <c r="A132" s="12">
        <v>-0.59411465577211764</v>
      </c>
    </row>
    <row r="133" spans="1:1" x14ac:dyDescent="0.35">
      <c r="A133" s="12">
        <v>31.008131020263523</v>
      </c>
    </row>
    <row r="134" spans="1:1" x14ac:dyDescent="0.35">
      <c r="A134" s="12">
        <v>-6.4826107888464923</v>
      </c>
    </row>
    <row r="135" spans="1:1" x14ac:dyDescent="0.35">
      <c r="A135" s="12">
        <v>12.017974297398759</v>
      </c>
    </row>
    <row r="136" spans="1:1" x14ac:dyDescent="0.35">
      <c r="A136" s="12">
        <v>-24.311569733828119</v>
      </c>
    </row>
    <row r="137" spans="1:1" x14ac:dyDescent="0.35">
      <c r="A137" s="12">
        <v>14.037490123232983</v>
      </c>
    </row>
    <row r="138" spans="1:1" x14ac:dyDescent="0.35">
      <c r="A138" s="12">
        <v>14.734130972563831</v>
      </c>
    </row>
    <row r="139" spans="1:1" x14ac:dyDescent="0.35">
      <c r="A139" s="12">
        <v>-9.0742766934494252</v>
      </c>
    </row>
    <row r="140" spans="1:1" x14ac:dyDescent="0.35">
      <c r="A140" s="12">
        <v>0.52013552782871619</v>
      </c>
    </row>
    <row r="141" spans="1:1" x14ac:dyDescent="0.35">
      <c r="A141" s="12">
        <v>8.7210442862327753</v>
      </c>
    </row>
    <row r="142" spans="1:1" x14ac:dyDescent="0.35">
      <c r="A142" s="12">
        <v>7.7231040308044143</v>
      </c>
    </row>
    <row r="143" spans="1:1" x14ac:dyDescent="0.35">
      <c r="A143" s="12">
        <v>-9.2987810557367645</v>
      </c>
    </row>
    <row r="144" spans="1:1" x14ac:dyDescent="0.35">
      <c r="A144" s="12">
        <v>18.257915961258259</v>
      </c>
    </row>
    <row r="145" spans="1:1" x14ac:dyDescent="0.35">
      <c r="A145" s="12">
        <v>6.1443631278926523</v>
      </c>
    </row>
    <row r="146" spans="1:1" x14ac:dyDescent="0.35">
      <c r="A146" s="12">
        <v>-2.133131737901214</v>
      </c>
    </row>
    <row r="147" spans="1:1" x14ac:dyDescent="0.35">
      <c r="A147" s="12">
        <v>4.7880795825483196</v>
      </c>
    </row>
    <row r="148" spans="1:1" x14ac:dyDescent="0.35">
      <c r="A148" s="12">
        <v>16.89021479424736</v>
      </c>
    </row>
    <row r="149" spans="1:1" x14ac:dyDescent="0.35">
      <c r="A149" s="12">
        <v>-13.965282653237916</v>
      </c>
    </row>
    <row r="150" spans="1:1" x14ac:dyDescent="0.35">
      <c r="A150" s="12">
        <v>25.903501639204904</v>
      </c>
    </row>
    <row r="151" spans="1:1" x14ac:dyDescent="0.35">
      <c r="A151" s="12">
        <v>-4.9110326017197776</v>
      </c>
    </row>
    <row r="152" spans="1:1" x14ac:dyDescent="0.35">
      <c r="A152" s="12">
        <v>-0.6873541175669543</v>
      </c>
    </row>
    <row r="153" spans="1:1" x14ac:dyDescent="0.35">
      <c r="A153" s="12">
        <v>38.182541211186901</v>
      </c>
    </row>
    <row r="154" spans="1:1" x14ac:dyDescent="0.35">
      <c r="A154" s="12">
        <v>0.63046063810435538</v>
      </c>
    </row>
    <row r="155" spans="1:1" x14ac:dyDescent="0.35">
      <c r="A155" s="12">
        <v>24.212814750128167</v>
      </c>
    </row>
    <row r="156" spans="1:1" x14ac:dyDescent="0.35">
      <c r="A156" s="12">
        <v>12.867245656543403</v>
      </c>
    </row>
    <row r="157" spans="1:1" x14ac:dyDescent="0.35">
      <c r="A157" s="12">
        <v>28.564109309428773</v>
      </c>
    </row>
    <row r="158" spans="1:1" x14ac:dyDescent="0.35">
      <c r="A158" s="12">
        <v>9.7859501353435672</v>
      </c>
    </row>
    <row r="159" spans="1:1" x14ac:dyDescent="0.35">
      <c r="A159" s="12">
        <v>7.5933254321729189</v>
      </c>
    </row>
    <row r="160" spans="1:1" x14ac:dyDescent="0.35">
      <c r="A160" s="12">
        <v>-1.2835783875755349</v>
      </c>
    </row>
    <row r="161" spans="1:1" x14ac:dyDescent="0.35">
      <c r="A161" s="12">
        <v>10.735157865387938</v>
      </c>
    </row>
    <row r="162" spans="1:1" x14ac:dyDescent="0.35">
      <c r="A162" s="12">
        <v>5.3924443710359986</v>
      </c>
    </row>
    <row r="163" spans="1:1" x14ac:dyDescent="0.35">
      <c r="A163" s="12">
        <v>5.3235989371765386</v>
      </c>
    </row>
    <row r="164" spans="1:1" x14ac:dyDescent="0.35">
      <c r="A164" s="12">
        <v>8.0988577444854446</v>
      </c>
    </row>
    <row r="165" spans="1:1" x14ac:dyDescent="0.35">
      <c r="A165" s="12">
        <v>-9.8146371228226066</v>
      </c>
    </row>
    <row r="166" spans="1:1" x14ac:dyDescent="0.35">
      <c r="A166" s="12">
        <v>33.207565238726659</v>
      </c>
    </row>
    <row r="167" spans="1:1" x14ac:dyDescent="0.35">
      <c r="A167" s="12">
        <v>-1.6056995163249872</v>
      </c>
    </row>
    <row r="168" spans="1:1" x14ac:dyDescent="0.35">
      <c r="A168" s="12">
        <v>-21.216634860768266</v>
      </c>
    </row>
    <row r="169" spans="1:1" x14ac:dyDescent="0.35">
      <c r="A169" s="12">
        <v>0.55130213424489938</v>
      </c>
    </row>
    <row r="170" spans="1:1" x14ac:dyDescent="0.35">
      <c r="A170" s="12">
        <v>14.117778682870053</v>
      </c>
    </row>
    <row r="171" spans="1:1" x14ac:dyDescent="0.35">
      <c r="A171" s="12">
        <v>14.170929090718715</v>
      </c>
    </row>
    <row r="172" spans="1:1" x14ac:dyDescent="0.35">
      <c r="A172" s="12">
        <v>28.958020044987215</v>
      </c>
    </row>
    <row r="173" spans="1:1" x14ac:dyDescent="0.35">
      <c r="A173" s="12">
        <v>14.459545986658505</v>
      </c>
    </row>
    <row r="174" spans="1:1" x14ac:dyDescent="0.35">
      <c r="A174" s="12">
        <v>7.5788624782152416</v>
      </c>
    </row>
    <row r="175" spans="1:1" x14ac:dyDescent="0.35">
      <c r="A175" s="12">
        <v>-2.8875923191709418</v>
      </c>
    </row>
    <row r="176" spans="1:1" x14ac:dyDescent="0.35">
      <c r="A176" s="12">
        <v>-3.8923456600871713</v>
      </c>
    </row>
    <row r="177" spans="1:1" x14ac:dyDescent="0.35">
      <c r="A177" s="12">
        <v>11.746122949566711</v>
      </c>
    </row>
    <row r="178" spans="1:1" x14ac:dyDescent="0.35">
      <c r="A178" s="12">
        <v>26.970881543501143</v>
      </c>
    </row>
    <row r="179" spans="1:1" x14ac:dyDescent="0.35">
      <c r="A179" s="12">
        <v>-1.1928986306019196</v>
      </c>
    </row>
    <row r="180" spans="1:1" x14ac:dyDescent="0.35">
      <c r="A180" s="12">
        <v>15.047228095706991</v>
      </c>
    </row>
    <row r="181" spans="1:1" x14ac:dyDescent="0.35">
      <c r="A181" s="12">
        <v>20.705148523788672</v>
      </c>
    </row>
    <row r="182" spans="1:1" x14ac:dyDescent="0.35">
      <c r="A182" s="12">
        <v>14.320658184037839</v>
      </c>
    </row>
    <row r="183" spans="1:1" x14ac:dyDescent="0.35">
      <c r="A183" s="12">
        <v>-2.5907167815036476</v>
      </c>
    </row>
    <row r="184" spans="1:1" x14ac:dyDescent="0.35">
      <c r="A184" s="12">
        <v>11.596944564119228</v>
      </c>
    </row>
    <row r="185" spans="1:1" x14ac:dyDescent="0.35">
      <c r="A185" s="12">
        <v>-13.618114329658839</v>
      </c>
    </row>
    <row r="186" spans="1:1" x14ac:dyDescent="0.35">
      <c r="A186" s="12">
        <v>-20.237143623074381</v>
      </c>
    </row>
    <row r="187" spans="1:1" x14ac:dyDescent="0.35">
      <c r="A187" s="12">
        <v>17.141364382850242</v>
      </c>
    </row>
    <row r="188" spans="1:1" x14ac:dyDescent="0.35">
      <c r="A188" s="12">
        <v>13.816822171715183</v>
      </c>
    </row>
    <row r="189" spans="1:1" x14ac:dyDescent="0.35">
      <c r="A189" s="12">
        <v>18.320344456381733</v>
      </c>
    </row>
    <row r="190" spans="1:1" x14ac:dyDescent="0.35">
      <c r="A190" s="12">
        <v>2.6349182269888152</v>
      </c>
    </row>
    <row r="191" spans="1:1" x14ac:dyDescent="0.35">
      <c r="A191" s="12">
        <v>5.617581233770788</v>
      </c>
    </row>
    <row r="192" spans="1:1" x14ac:dyDescent="0.35">
      <c r="A192" s="12">
        <v>20.520884105357336</v>
      </c>
    </row>
    <row r="193" spans="1:1" x14ac:dyDescent="0.35">
      <c r="A193" s="12">
        <v>1.8008079921099174</v>
      </c>
    </row>
    <row r="194" spans="1:1" x14ac:dyDescent="0.35">
      <c r="A194" s="12">
        <v>15.708795356270265</v>
      </c>
    </row>
    <row r="195" spans="1:1" x14ac:dyDescent="0.35">
      <c r="A195" s="12">
        <v>9.2104907221827013</v>
      </c>
    </row>
    <row r="196" spans="1:1" x14ac:dyDescent="0.35">
      <c r="A196" s="12">
        <v>4.7032960961654453</v>
      </c>
    </row>
    <row r="197" spans="1:1" x14ac:dyDescent="0.35">
      <c r="A197" s="12">
        <v>-9.1659024533576369E-2</v>
      </c>
    </row>
    <row r="198" spans="1:1" x14ac:dyDescent="0.35">
      <c r="A198" s="12">
        <v>17.084660905817596</v>
      </c>
    </row>
    <row r="199" spans="1:1" x14ac:dyDescent="0.35">
      <c r="A199" s="12">
        <v>9.6234149842204655</v>
      </c>
    </row>
    <row r="200" spans="1:1" x14ac:dyDescent="0.35">
      <c r="A200" s="12">
        <v>-8.4812782438914649</v>
      </c>
    </row>
    <row r="201" spans="1:1" x14ac:dyDescent="0.35">
      <c r="A201" s="12">
        <v>29.014743487643965</v>
      </c>
    </row>
    <row r="202" spans="1:1" x14ac:dyDescent="0.35">
      <c r="A202" s="12">
        <v>-0.86895186240352618</v>
      </c>
    </row>
    <row r="203" spans="1:1" x14ac:dyDescent="0.35">
      <c r="A203" s="12">
        <v>2.2676707725222798</v>
      </c>
    </row>
    <row r="204" spans="1:1" x14ac:dyDescent="0.35">
      <c r="A204" s="12">
        <v>-21.313418002485861</v>
      </c>
    </row>
    <row r="205" spans="1:1" x14ac:dyDescent="0.35">
      <c r="A205" s="12">
        <v>5.4411396945185073</v>
      </c>
    </row>
    <row r="206" spans="1:1" x14ac:dyDescent="0.35">
      <c r="A206" s="12">
        <v>5.919814319617136</v>
      </c>
    </row>
    <row r="207" spans="1:1" x14ac:dyDescent="0.35">
      <c r="A207" s="12">
        <v>35.076184693524048</v>
      </c>
    </row>
    <row r="208" spans="1:1" x14ac:dyDescent="0.35">
      <c r="A208" s="12">
        <v>-6.1891632683871745</v>
      </c>
    </row>
    <row r="209" spans="1:1" x14ac:dyDescent="0.35">
      <c r="A209" s="12">
        <v>-19.166805870776116</v>
      </c>
    </row>
    <row r="210" spans="1:1" x14ac:dyDescent="0.35">
      <c r="A210" s="12">
        <v>-7.635113740601958</v>
      </c>
    </row>
    <row r="211" spans="1:1" x14ac:dyDescent="0.35">
      <c r="A211" s="12">
        <v>21.605514987974253</v>
      </c>
    </row>
    <row r="212" spans="1:1" x14ac:dyDescent="0.35">
      <c r="A212" s="12">
        <v>20.196115056649607</v>
      </c>
    </row>
    <row r="213" spans="1:1" x14ac:dyDescent="0.35">
      <c r="A213" s="12">
        <v>4.4257382217259922</v>
      </c>
    </row>
    <row r="214" spans="1:1" x14ac:dyDescent="0.35">
      <c r="A214" s="12">
        <v>10.453873049891641</v>
      </c>
    </row>
    <row r="215" spans="1:1" x14ac:dyDescent="0.35">
      <c r="A215" s="12">
        <v>16.045970492460917</v>
      </c>
    </row>
    <row r="216" spans="1:1" x14ac:dyDescent="0.35">
      <c r="A216" s="12">
        <v>28.325072079758886</v>
      </c>
    </row>
    <row r="217" spans="1:1" x14ac:dyDescent="0.35">
      <c r="A217" s="12">
        <v>-1.5240452301918843</v>
      </c>
    </row>
    <row r="218" spans="1:1" x14ac:dyDescent="0.35">
      <c r="A218" s="12">
        <v>26.266899122083345</v>
      </c>
    </row>
    <row r="219" spans="1:1" x14ac:dyDescent="0.35">
      <c r="A219" s="12">
        <v>-1.7095325293990127</v>
      </c>
    </row>
    <row r="220" spans="1:1" x14ac:dyDescent="0.35">
      <c r="A220" s="12">
        <v>23.781538951290951</v>
      </c>
    </row>
    <row r="221" spans="1:1" x14ac:dyDescent="0.35">
      <c r="A221" s="12">
        <v>8.1792168731698904</v>
      </c>
    </row>
    <row r="222" spans="1:1" x14ac:dyDescent="0.35">
      <c r="A222" s="12">
        <v>24.073274470754274</v>
      </c>
    </row>
    <row r="223" spans="1:1" x14ac:dyDescent="0.35">
      <c r="A223" s="12">
        <v>21.695705998515312</v>
      </c>
    </row>
    <row r="224" spans="1:1" x14ac:dyDescent="0.35">
      <c r="A224" s="12">
        <v>0.59719264612240508</v>
      </c>
    </row>
    <row r="225" spans="1:1" x14ac:dyDescent="0.35">
      <c r="A225" s="12">
        <v>14.625074894281536</v>
      </c>
    </row>
    <row r="226" spans="1:1" x14ac:dyDescent="0.35">
      <c r="A226" s="12">
        <v>-1.0997846838369612</v>
      </c>
    </row>
    <row r="227" spans="1:1" x14ac:dyDescent="0.35">
      <c r="A227" s="12">
        <v>16.87403662879704</v>
      </c>
    </row>
    <row r="228" spans="1:1" x14ac:dyDescent="0.35">
      <c r="A228" s="12">
        <v>5.844911002485599</v>
      </c>
    </row>
    <row r="229" spans="1:1" x14ac:dyDescent="0.35">
      <c r="A229" s="12">
        <v>-12.000676176402278</v>
      </c>
    </row>
    <row r="230" spans="1:1" x14ac:dyDescent="0.35">
      <c r="A230" s="12">
        <v>3.7552679455222959</v>
      </c>
    </row>
    <row r="231" spans="1:1" x14ac:dyDescent="0.35">
      <c r="A231" s="12">
        <v>17.781191097847064</v>
      </c>
    </row>
    <row r="232" spans="1:1" x14ac:dyDescent="0.35">
      <c r="A232" s="12">
        <v>-2.7243899655679913</v>
      </c>
    </row>
    <row r="233" spans="1:1" x14ac:dyDescent="0.35">
      <c r="A233" s="12">
        <v>20.49016077768259</v>
      </c>
    </row>
    <row r="234" spans="1:1" x14ac:dyDescent="0.35">
      <c r="A234" s="12">
        <v>-15.88888915078677</v>
      </c>
    </row>
    <row r="235" spans="1:1" x14ac:dyDescent="0.35">
      <c r="A235" s="12">
        <v>17.665249966772237</v>
      </c>
    </row>
    <row r="236" spans="1:1" x14ac:dyDescent="0.35">
      <c r="A236" s="12">
        <v>-2.9797768407506142</v>
      </c>
    </row>
    <row r="237" spans="1:1" x14ac:dyDescent="0.35">
      <c r="A237" s="12">
        <v>3.0602891793778064</v>
      </c>
    </row>
    <row r="238" spans="1:1" x14ac:dyDescent="0.35">
      <c r="A238" s="12">
        <v>9.6056119733764049</v>
      </c>
    </row>
    <row r="239" spans="1:1" x14ac:dyDescent="0.35">
      <c r="A239" s="12">
        <v>12.058050732678611</v>
      </c>
    </row>
    <row r="240" spans="1:1" x14ac:dyDescent="0.35">
      <c r="A240" s="12">
        <v>12.267198129531318</v>
      </c>
    </row>
    <row r="241" spans="1:1" x14ac:dyDescent="0.35">
      <c r="A241" s="12">
        <v>-10.162277963882035</v>
      </c>
    </row>
    <row r="242" spans="1:1" x14ac:dyDescent="0.35">
      <c r="A242" s="12">
        <v>4.6456889778889208</v>
      </c>
    </row>
    <row r="243" spans="1:1" x14ac:dyDescent="0.35">
      <c r="A243" s="12">
        <v>-4.4994353454102978</v>
      </c>
    </row>
    <row r="244" spans="1:1" x14ac:dyDescent="0.35">
      <c r="A244" s="12">
        <v>3.9140514570651788</v>
      </c>
    </row>
    <row r="245" spans="1:1" x14ac:dyDescent="0.35">
      <c r="A245" s="12">
        <v>9.7431278982243814</v>
      </c>
    </row>
    <row r="246" spans="1:1" x14ac:dyDescent="0.35">
      <c r="A246" s="12">
        <v>7.2441085396965734</v>
      </c>
    </row>
    <row r="247" spans="1:1" x14ac:dyDescent="0.35">
      <c r="A247" s="12">
        <v>-2.1393831213663645</v>
      </c>
    </row>
    <row r="248" spans="1:1" x14ac:dyDescent="0.35">
      <c r="A248" s="12">
        <v>2.2934317452692743</v>
      </c>
    </row>
    <row r="249" spans="1:1" x14ac:dyDescent="0.35">
      <c r="A249" s="12">
        <v>23.240229132710983</v>
      </c>
    </row>
    <row r="250" spans="1:1" x14ac:dyDescent="0.35">
      <c r="A250" s="12">
        <v>-12.337184939383809</v>
      </c>
    </row>
    <row r="251" spans="1:1" x14ac:dyDescent="0.35">
      <c r="A251" s="12">
        <v>6.0345285681112373E-2</v>
      </c>
    </row>
    <row r="252" spans="1:1" x14ac:dyDescent="0.35">
      <c r="A252" s="12">
        <v>15.739710772105713</v>
      </c>
    </row>
    <row r="253" spans="1:1" x14ac:dyDescent="0.35">
      <c r="A253" s="12">
        <v>26.693973191003305</v>
      </c>
    </row>
    <row r="254" spans="1:1" x14ac:dyDescent="0.35">
      <c r="A254" s="12">
        <v>34.707020591609528</v>
      </c>
    </row>
    <row r="255" spans="1:1" x14ac:dyDescent="0.35">
      <c r="A255" s="12">
        <v>-2.7642275458064245</v>
      </c>
    </row>
    <row r="256" spans="1:1" x14ac:dyDescent="0.35">
      <c r="A256" s="12">
        <v>0.54056415741222985</v>
      </c>
    </row>
    <row r="257" spans="1:1" x14ac:dyDescent="0.35">
      <c r="A257" s="12">
        <v>16.240931639185966</v>
      </c>
    </row>
    <row r="258" spans="1:1" x14ac:dyDescent="0.35">
      <c r="A258" s="12">
        <v>13.93324653264585</v>
      </c>
    </row>
    <row r="259" spans="1:1" x14ac:dyDescent="0.35">
      <c r="A259" s="12">
        <v>-7.8501739731721774</v>
      </c>
    </row>
    <row r="260" spans="1:1" x14ac:dyDescent="0.35">
      <c r="A260" s="12">
        <v>13.095442610456596</v>
      </c>
    </row>
    <row r="261" spans="1:1" x14ac:dyDescent="0.35">
      <c r="A261" s="12">
        <v>19.884066610162186</v>
      </c>
    </row>
    <row r="262" spans="1:1" x14ac:dyDescent="0.35">
      <c r="A262" s="12">
        <v>28.009588845490928</v>
      </c>
    </row>
    <row r="263" spans="1:1" x14ac:dyDescent="0.35">
      <c r="A263" s="12">
        <v>14.523300640732106</v>
      </c>
    </row>
    <row r="264" spans="1:1" x14ac:dyDescent="0.35">
      <c r="A264" s="12">
        <v>7.0989516137863848</v>
      </c>
    </row>
    <row r="265" spans="1:1" x14ac:dyDescent="0.35">
      <c r="A265" s="12">
        <v>23.044615155539141</v>
      </c>
    </row>
    <row r="266" spans="1:1" x14ac:dyDescent="0.35">
      <c r="A266" s="12">
        <v>-5.2332822144799023</v>
      </c>
    </row>
    <row r="267" spans="1:1" x14ac:dyDescent="0.35">
      <c r="A267" s="12">
        <v>9.1868074380720586</v>
      </c>
    </row>
    <row r="268" spans="1:1" x14ac:dyDescent="0.35">
      <c r="A268" s="12">
        <v>-11.381368936275273</v>
      </c>
    </row>
    <row r="269" spans="1:1" x14ac:dyDescent="0.35">
      <c r="A269" s="12">
        <v>-2.951909841229535</v>
      </c>
    </row>
    <row r="270" spans="1:1" x14ac:dyDescent="0.35">
      <c r="A270" s="12">
        <v>1.3271895163363741</v>
      </c>
    </row>
    <row r="271" spans="1:1" x14ac:dyDescent="0.35">
      <c r="A271" s="12">
        <v>30.220369702162319</v>
      </c>
    </row>
    <row r="272" spans="1:1" x14ac:dyDescent="0.35">
      <c r="A272" s="12">
        <v>0.32274492375584923</v>
      </c>
    </row>
    <row r="273" spans="1:1" x14ac:dyDescent="0.35">
      <c r="A273" s="12">
        <v>-17.488829350444622</v>
      </c>
    </row>
    <row r="274" spans="1:1" x14ac:dyDescent="0.35">
      <c r="A274" s="12">
        <v>4.2561868517438928</v>
      </c>
    </row>
    <row r="275" spans="1:1" x14ac:dyDescent="0.35">
      <c r="A275" s="12">
        <v>14.49588938061741</v>
      </c>
    </row>
    <row r="276" spans="1:1" x14ac:dyDescent="0.35">
      <c r="A276" s="12">
        <v>11.520959338113897</v>
      </c>
    </row>
    <row r="277" spans="1:1" x14ac:dyDescent="0.35">
      <c r="A277" s="12">
        <v>9.1672606853539236</v>
      </c>
    </row>
    <row r="278" spans="1:1" x14ac:dyDescent="0.35">
      <c r="A278" s="12">
        <v>19.728417865803642</v>
      </c>
    </row>
    <row r="279" spans="1:1" x14ac:dyDescent="0.35">
      <c r="A279" s="12">
        <v>-3.127359966867993</v>
      </c>
    </row>
    <row r="280" spans="1:1" x14ac:dyDescent="0.35">
      <c r="A280" s="12">
        <v>27.12141232507307</v>
      </c>
    </row>
    <row r="281" spans="1:1" x14ac:dyDescent="0.35">
      <c r="A281" s="12">
        <v>5.268173614556332</v>
      </c>
    </row>
    <row r="282" spans="1:1" x14ac:dyDescent="0.35">
      <c r="A282" s="12">
        <v>20.347960290966519</v>
      </c>
    </row>
    <row r="283" spans="1:1" x14ac:dyDescent="0.35">
      <c r="A283" s="12">
        <v>27.183424960015145</v>
      </c>
    </row>
    <row r="284" spans="1:1" x14ac:dyDescent="0.35">
      <c r="A284" s="12">
        <v>14.294676174616354</v>
      </c>
    </row>
    <row r="285" spans="1:1" x14ac:dyDescent="0.35">
      <c r="A285" s="12">
        <v>-8.9281338743691556</v>
      </c>
    </row>
    <row r="286" spans="1:1" x14ac:dyDescent="0.35">
      <c r="A286" s="12">
        <v>0.34716459885661638</v>
      </c>
    </row>
    <row r="287" spans="1:1" x14ac:dyDescent="0.35">
      <c r="A287" s="12">
        <v>9.0824245623756195</v>
      </c>
    </row>
    <row r="288" spans="1:1" x14ac:dyDescent="0.35">
      <c r="A288" s="12">
        <v>1.0462496050434831</v>
      </c>
    </row>
    <row r="289" spans="1:1" x14ac:dyDescent="0.35">
      <c r="A289" s="12">
        <v>-1.9147148029476697</v>
      </c>
    </row>
    <row r="290" spans="1:1" x14ac:dyDescent="0.35">
      <c r="A290" s="12">
        <v>12.745430919808818</v>
      </c>
    </row>
    <row r="291" spans="1:1" x14ac:dyDescent="0.35">
      <c r="A291" s="12">
        <v>13.919131105045768</v>
      </c>
    </row>
    <row r="292" spans="1:1" x14ac:dyDescent="0.35">
      <c r="A292" s="12">
        <v>7.3717997514986218</v>
      </c>
    </row>
    <row r="293" spans="1:1" x14ac:dyDescent="0.35">
      <c r="A293" s="12">
        <v>-7.0726123133210432</v>
      </c>
    </row>
    <row r="294" spans="1:1" x14ac:dyDescent="0.35">
      <c r="A294" s="12">
        <v>16.031364633154723</v>
      </c>
    </row>
    <row r="295" spans="1:1" x14ac:dyDescent="0.35">
      <c r="A295" s="12">
        <v>8.9730297979755225</v>
      </c>
    </row>
    <row r="296" spans="1:1" x14ac:dyDescent="0.35">
      <c r="A296" s="12">
        <v>2.0998910739639083</v>
      </c>
    </row>
    <row r="297" spans="1:1" x14ac:dyDescent="0.35">
      <c r="A297" s="12">
        <v>0.15027197374086315</v>
      </c>
    </row>
    <row r="298" spans="1:1" x14ac:dyDescent="0.35">
      <c r="A298" s="12">
        <v>6.5989003013373244</v>
      </c>
    </row>
    <row r="299" spans="1:1" x14ac:dyDescent="0.35">
      <c r="A299" s="12">
        <v>8.5366808067098336</v>
      </c>
    </row>
    <row r="300" spans="1:1" x14ac:dyDescent="0.35">
      <c r="A300" s="12">
        <v>-0.11494956019398776</v>
      </c>
    </row>
    <row r="301" spans="1:1" x14ac:dyDescent="0.35">
      <c r="A301" s="12">
        <v>-6.8475530564164266</v>
      </c>
    </row>
    <row r="302" spans="1:1" x14ac:dyDescent="0.35">
      <c r="A302" s="12">
        <v>-9.7801811866905037</v>
      </c>
    </row>
    <row r="303" spans="1:1" x14ac:dyDescent="0.35">
      <c r="A303" s="12">
        <v>4.4793180148176441</v>
      </c>
    </row>
    <row r="304" spans="1:1" x14ac:dyDescent="0.35">
      <c r="A304" s="12">
        <v>6.8122837732289634</v>
      </c>
    </row>
    <row r="305" spans="1:1" x14ac:dyDescent="0.35">
      <c r="A305" s="12">
        <v>0.23194913750606971</v>
      </c>
    </row>
    <row r="306" spans="1:1" x14ac:dyDescent="0.35">
      <c r="A306" s="12">
        <v>-9.5876647034646378</v>
      </c>
    </row>
    <row r="307" spans="1:1" x14ac:dyDescent="0.35">
      <c r="A307" s="12">
        <v>13.905918678888765</v>
      </c>
    </row>
    <row r="308" spans="1:1" x14ac:dyDescent="0.35">
      <c r="A308" s="12">
        <v>-2.0410748736238911</v>
      </c>
    </row>
    <row r="309" spans="1:1" x14ac:dyDescent="0.35">
      <c r="A309" s="12">
        <v>20.038217961841045</v>
      </c>
    </row>
    <row r="310" spans="1:1" x14ac:dyDescent="0.35">
      <c r="A310" s="12">
        <v>-5.7588269038668152</v>
      </c>
    </row>
    <row r="311" spans="1:1" x14ac:dyDescent="0.35">
      <c r="A311" s="12">
        <v>6.2970575790035177</v>
      </c>
    </row>
    <row r="312" spans="1:1" x14ac:dyDescent="0.35">
      <c r="A312" s="12">
        <v>15.381289600746577</v>
      </c>
    </row>
    <row r="313" spans="1:1" x14ac:dyDescent="0.35">
      <c r="A313" s="12">
        <v>9.1880773952949326</v>
      </c>
    </row>
    <row r="314" spans="1:1" x14ac:dyDescent="0.35">
      <c r="A314" s="12">
        <v>9.7748254465408326</v>
      </c>
    </row>
    <row r="315" spans="1:1" x14ac:dyDescent="0.35">
      <c r="A315" s="12">
        <v>-5.0573771598719368</v>
      </c>
    </row>
    <row r="316" spans="1:1" x14ac:dyDescent="0.35">
      <c r="A316" s="12">
        <v>6.6455424172219724</v>
      </c>
    </row>
    <row r="317" spans="1:1" x14ac:dyDescent="0.35">
      <c r="A317" s="12">
        <v>10.490574551529262</v>
      </c>
    </row>
    <row r="318" spans="1:1" x14ac:dyDescent="0.35">
      <c r="A318" s="12">
        <v>17.522535579457227</v>
      </c>
    </row>
    <row r="319" spans="1:1" x14ac:dyDescent="0.35">
      <c r="A319" s="12">
        <v>12.297801166891361</v>
      </c>
    </row>
    <row r="320" spans="1:1" x14ac:dyDescent="0.35">
      <c r="A320" s="12">
        <v>6.7854887731995968</v>
      </c>
    </row>
    <row r="321" spans="1:1" x14ac:dyDescent="0.35">
      <c r="A321" s="12">
        <v>10.276745449377222</v>
      </c>
    </row>
    <row r="322" spans="1:1" x14ac:dyDescent="0.35">
      <c r="A322" s="12">
        <v>-2.3428228021870772</v>
      </c>
    </row>
    <row r="323" spans="1:1" x14ac:dyDescent="0.35">
      <c r="A323" s="12">
        <v>9.9870373884298207</v>
      </c>
    </row>
    <row r="324" spans="1:1" x14ac:dyDescent="0.35">
      <c r="A324" s="12">
        <v>-9.8138712505755148</v>
      </c>
    </row>
    <row r="325" spans="1:1" x14ac:dyDescent="0.35">
      <c r="A325" s="12">
        <v>22.647620192206851</v>
      </c>
    </row>
    <row r="326" spans="1:1" x14ac:dyDescent="0.35">
      <c r="A326" s="12">
        <v>22.172196073843875</v>
      </c>
    </row>
    <row r="327" spans="1:1" x14ac:dyDescent="0.35">
      <c r="A327" s="12">
        <v>-9.812889636427947</v>
      </c>
    </row>
    <row r="328" spans="1:1" x14ac:dyDescent="0.35">
      <c r="A328" s="12">
        <v>-7.9698276937114914</v>
      </c>
    </row>
    <row r="329" spans="1:1" x14ac:dyDescent="0.35">
      <c r="A329" s="12">
        <v>14.113870025491776</v>
      </c>
    </row>
    <row r="330" spans="1:1" x14ac:dyDescent="0.35">
      <c r="A330" s="12">
        <v>13.928491478765533</v>
      </c>
    </row>
    <row r="331" spans="1:1" x14ac:dyDescent="0.35">
      <c r="A331" s="12">
        <v>23.651599304291679</v>
      </c>
    </row>
    <row r="332" spans="1:1" x14ac:dyDescent="0.35">
      <c r="A332" s="12">
        <v>1.5751601094837939</v>
      </c>
    </row>
    <row r="333" spans="1:1" x14ac:dyDescent="0.35">
      <c r="A333" s="12">
        <v>2.7765574775281419</v>
      </c>
    </row>
    <row r="334" spans="1:1" x14ac:dyDescent="0.35">
      <c r="A334" s="12">
        <v>-5.1407354070784486</v>
      </c>
    </row>
    <row r="335" spans="1:1" x14ac:dyDescent="0.35">
      <c r="A335" s="12">
        <v>2.9760437535396536</v>
      </c>
    </row>
    <row r="336" spans="1:1" x14ac:dyDescent="0.35">
      <c r="A336" s="12">
        <v>20.243616394526907</v>
      </c>
    </row>
    <row r="337" spans="1:1" x14ac:dyDescent="0.35">
      <c r="A337" s="12">
        <v>12.132052149142201</v>
      </c>
    </row>
    <row r="338" spans="1:1" x14ac:dyDescent="0.35">
      <c r="A338" s="12">
        <v>17.261062753189162</v>
      </c>
    </row>
    <row r="339" spans="1:1" x14ac:dyDescent="0.35">
      <c r="A339" s="12">
        <v>36.169092646736566</v>
      </c>
    </row>
    <row r="340" spans="1:1" x14ac:dyDescent="0.35">
      <c r="A340" s="12">
        <v>2.8838842387552561</v>
      </c>
    </row>
    <row r="341" spans="1:1" x14ac:dyDescent="0.35">
      <c r="A341" s="12">
        <v>17.745705099869699</v>
      </c>
    </row>
    <row r="342" spans="1:1" x14ac:dyDescent="0.35">
      <c r="A342" s="12">
        <v>9.7665467770667664</v>
      </c>
    </row>
    <row r="343" spans="1:1" x14ac:dyDescent="0.35">
      <c r="A343" s="12">
        <v>7.3725229202409928</v>
      </c>
    </row>
    <row r="344" spans="1:1" x14ac:dyDescent="0.35">
      <c r="A344" s="12">
        <v>10.949991655814488</v>
      </c>
    </row>
    <row r="345" spans="1:1" x14ac:dyDescent="0.35">
      <c r="A345" s="12">
        <v>-4.3190092129456943</v>
      </c>
    </row>
    <row r="346" spans="1:1" x14ac:dyDescent="0.35">
      <c r="A346" s="12">
        <v>2.6522653934459544</v>
      </c>
    </row>
    <row r="347" spans="1:1" x14ac:dyDescent="0.35">
      <c r="A347" s="12">
        <v>-7.2064203413919827</v>
      </c>
    </row>
    <row r="348" spans="1:1" x14ac:dyDescent="0.35">
      <c r="A348" s="12">
        <v>-2.2053196559641743</v>
      </c>
    </row>
    <row r="349" spans="1:1" x14ac:dyDescent="0.35">
      <c r="A349" s="12">
        <v>10.042961748634886</v>
      </c>
    </row>
    <row r="350" spans="1:1" x14ac:dyDescent="0.35">
      <c r="A350" s="12">
        <v>25.629638707096724</v>
      </c>
    </row>
    <row r="351" spans="1:1" x14ac:dyDescent="0.35">
      <c r="A351" s="12">
        <v>14.540621561036811</v>
      </c>
    </row>
    <row r="352" spans="1:1" x14ac:dyDescent="0.35">
      <c r="A352" s="12">
        <v>29.429924984385753</v>
      </c>
    </row>
    <row r="353" spans="1:1" x14ac:dyDescent="0.35">
      <c r="A353" s="12">
        <v>8.7167244175913314</v>
      </c>
    </row>
    <row r="354" spans="1:1" x14ac:dyDescent="0.35">
      <c r="A354" s="12">
        <v>-1.0769389220217247</v>
      </c>
    </row>
    <row r="355" spans="1:1" x14ac:dyDescent="0.35">
      <c r="A355" s="12">
        <v>27.227243946189748</v>
      </c>
    </row>
    <row r="356" spans="1:1" x14ac:dyDescent="0.35">
      <c r="A356" s="12">
        <v>-7.8935621127016464</v>
      </c>
    </row>
    <row r="357" spans="1:1" x14ac:dyDescent="0.35">
      <c r="A357" s="12">
        <v>24.773958833494643</v>
      </c>
    </row>
    <row r="358" spans="1:1" x14ac:dyDescent="0.35">
      <c r="A358" s="12">
        <v>17.800683314872323</v>
      </c>
    </row>
    <row r="359" spans="1:1" x14ac:dyDescent="0.35">
      <c r="A359" s="12">
        <v>5.4915633167435605</v>
      </c>
    </row>
    <row r="360" spans="1:1" x14ac:dyDescent="0.35">
      <c r="A360" s="12">
        <v>11.717621308200904</v>
      </c>
    </row>
    <row r="361" spans="1:1" x14ac:dyDescent="0.35">
      <c r="A361" s="12">
        <v>8.7498857675553783</v>
      </c>
    </row>
    <row r="362" spans="1:1" x14ac:dyDescent="0.35">
      <c r="A362" s="12">
        <v>8.1250653212982922</v>
      </c>
    </row>
    <row r="363" spans="1:1" x14ac:dyDescent="0.35">
      <c r="A363" s="12">
        <v>9.7814875173059779</v>
      </c>
    </row>
    <row r="364" spans="1:1" x14ac:dyDescent="0.35">
      <c r="A364" s="12">
        <v>3.4704633429546763</v>
      </c>
    </row>
    <row r="365" spans="1:1" x14ac:dyDescent="0.35">
      <c r="A365" s="12">
        <v>-9.0211567791143512</v>
      </c>
    </row>
    <row r="366" spans="1:1" x14ac:dyDescent="0.35">
      <c r="A366" s="12">
        <v>-2.9389505541683101</v>
      </c>
    </row>
    <row r="367" spans="1:1" x14ac:dyDescent="0.35">
      <c r="A367" s="12">
        <v>-16.917282039210946</v>
      </c>
    </row>
    <row r="368" spans="1:1" x14ac:dyDescent="0.35">
      <c r="A368" s="12">
        <v>3.4286749778231415E-2</v>
      </c>
    </row>
    <row r="369" spans="1:1" x14ac:dyDescent="0.35">
      <c r="A369" s="12">
        <v>4.5876649760988935</v>
      </c>
    </row>
    <row r="370" spans="1:1" x14ac:dyDescent="0.35">
      <c r="A370" s="12">
        <v>-16.774608467939764</v>
      </c>
    </row>
    <row r="371" spans="1:1" x14ac:dyDescent="0.35">
      <c r="A371" s="12">
        <v>17.001420388022883</v>
      </c>
    </row>
    <row r="372" spans="1:1" x14ac:dyDescent="0.35">
      <c r="A372" s="12">
        <v>3.8182394143553799</v>
      </c>
    </row>
    <row r="373" spans="1:1" x14ac:dyDescent="0.35">
      <c r="A373" s="12">
        <v>8.0816342045786946</v>
      </c>
    </row>
    <row r="374" spans="1:1" x14ac:dyDescent="0.35">
      <c r="A374" s="12">
        <v>15.47364711093789</v>
      </c>
    </row>
    <row r="375" spans="1:1" x14ac:dyDescent="0.35">
      <c r="A375" s="12">
        <v>14.295594100466881</v>
      </c>
    </row>
    <row r="376" spans="1:1" x14ac:dyDescent="0.35">
      <c r="A376" s="12">
        <v>23.417817993937895</v>
      </c>
    </row>
    <row r="377" spans="1:1" x14ac:dyDescent="0.35">
      <c r="A377" s="12">
        <v>-1.0517392822455185</v>
      </c>
    </row>
    <row r="378" spans="1:1" x14ac:dyDescent="0.35">
      <c r="A378" s="12">
        <v>10.207898556104556</v>
      </c>
    </row>
    <row r="379" spans="1:1" x14ac:dyDescent="0.35">
      <c r="A379" s="12">
        <v>-10.598770329736947</v>
      </c>
    </row>
    <row r="380" spans="1:1" x14ac:dyDescent="0.35">
      <c r="A380" s="12">
        <v>-3.8533959317379098</v>
      </c>
    </row>
    <row r="381" spans="1:1" x14ac:dyDescent="0.35">
      <c r="A381" s="12">
        <v>-6.9549742397558063</v>
      </c>
    </row>
    <row r="382" spans="1:1" x14ac:dyDescent="0.35">
      <c r="A382" s="12">
        <v>-8.4448217356124875</v>
      </c>
    </row>
    <row r="383" spans="1:1" x14ac:dyDescent="0.35">
      <c r="A383" s="12">
        <v>1.0320014767908201</v>
      </c>
    </row>
    <row r="384" spans="1:1" x14ac:dyDescent="0.35">
      <c r="A384" s="12">
        <v>23.308768719611209</v>
      </c>
    </row>
    <row r="385" spans="1:1" x14ac:dyDescent="0.35">
      <c r="A385" s="12">
        <v>1.9351624703462738</v>
      </c>
    </row>
    <row r="386" spans="1:1" x14ac:dyDescent="0.35">
      <c r="A386" s="12">
        <v>-7.7693590271710562</v>
      </c>
    </row>
    <row r="387" spans="1:1" x14ac:dyDescent="0.35">
      <c r="A387" s="12">
        <v>11.139695976044147</v>
      </c>
    </row>
    <row r="388" spans="1:1" x14ac:dyDescent="0.35">
      <c r="A388" s="12">
        <v>15.38313091944746</v>
      </c>
    </row>
    <row r="389" spans="1:1" x14ac:dyDescent="0.35">
      <c r="A389" s="12">
        <v>38.758657623949873</v>
      </c>
    </row>
    <row r="390" spans="1:1" x14ac:dyDescent="0.35">
      <c r="A390" s="12">
        <v>9.4701788594374765</v>
      </c>
    </row>
    <row r="391" spans="1:1" x14ac:dyDescent="0.35">
      <c r="A391" s="12">
        <v>8.1724874245082031</v>
      </c>
    </row>
    <row r="392" spans="1:1" x14ac:dyDescent="0.35">
      <c r="A392" s="12">
        <v>15.569343342716</v>
      </c>
    </row>
    <row r="393" spans="1:1" x14ac:dyDescent="0.35">
      <c r="A393" s="12">
        <v>17.127868435694197</v>
      </c>
    </row>
    <row r="394" spans="1:1" x14ac:dyDescent="0.35">
      <c r="A394" s="12">
        <v>24.690210961794069</v>
      </c>
    </row>
    <row r="395" spans="1:1" x14ac:dyDescent="0.35">
      <c r="A395" s="12">
        <v>7.0361316158189711</v>
      </c>
    </row>
    <row r="396" spans="1:1" x14ac:dyDescent="0.35">
      <c r="A396" s="12">
        <v>17.777112485614829</v>
      </c>
    </row>
    <row r="397" spans="1:1" x14ac:dyDescent="0.35">
      <c r="A397" s="12">
        <v>17.610960892756768</v>
      </c>
    </row>
    <row r="398" spans="1:1" x14ac:dyDescent="0.35">
      <c r="A398" s="12">
        <v>-10.146756746100595</v>
      </c>
    </row>
    <row r="399" spans="1:1" x14ac:dyDescent="0.35">
      <c r="A399" s="12">
        <v>11.193990142701502</v>
      </c>
    </row>
    <row r="400" spans="1:1" x14ac:dyDescent="0.35">
      <c r="A400" s="12">
        <v>6.8681503445304823</v>
      </c>
    </row>
    <row r="401" spans="1:1" x14ac:dyDescent="0.35">
      <c r="A401" s="12">
        <v>38.50428194647786</v>
      </c>
    </row>
    <row r="402" spans="1:1" x14ac:dyDescent="0.35">
      <c r="A402" s="12">
        <v>-9.1105600219530132</v>
      </c>
    </row>
    <row r="403" spans="1:1" x14ac:dyDescent="0.35">
      <c r="A403" s="12">
        <v>11.036095930232792</v>
      </c>
    </row>
    <row r="404" spans="1:1" x14ac:dyDescent="0.35">
      <c r="A404" s="12">
        <v>5.1293958049215522</v>
      </c>
    </row>
    <row r="405" spans="1:1" x14ac:dyDescent="0.35">
      <c r="A405" s="12">
        <v>5.643341201627206</v>
      </c>
    </row>
    <row r="406" spans="1:1" x14ac:dyDescent="0.35">
      <c r="A406" s="12">
        <v>-11.488490923793483</v>
      </c>
    </row>
    <row r="407" spans="1:1" x14ac:dyDescent="0.35">
      <c r="A407" s="12">
        <v>9.2155389656359805</v>
      </c>
    </row>
    <row r="408" spans="1:1" x14ac:dyDescent="0.35">
      <c r="A408" s="12">
        <v>0.86915463007430172</v>
      </c>
    </row>
    <row r="409" spans="1:1" x14ac:dyDescent="0.35">
      <c r="A409" s="12">
        <v>-3.9962120495006439</v>
      </c>
    </row>
    <row r="410" spans="1:1" x14ac:dyDescent="0.35">
      <c r="A410" s="12">
        <v>-11.926543219450497</v>
      </c>
    </row>
    <row r="411" spans="1:1" x14ac:dyDescent="0.35">
      <c r="A411" s="12">
        <v>19.807525476119348</v>
      </c>
    </row>
    <row r="412" spans="1:1" x14ac:dyDescent="0.35">
      <c r="A412" s="12">
        <v>-8.3147275753056675</v>
      </c>
    </row>
    <row r="413" spans="1:1" x14ac:dyDescent="0.35">
      <c r="A413" s="12">
        <v>-12.390381091472461</v>
      </c>
    </row>
    <row r="414" spans="1:1" x14ac:dyDescent="0.35">
      <c r="A414" s="12">
        <v>23.274395179980029</v>
      </c>
    </row>
    <row r="415" spans="1:1" x14ac:dyDescent="0.35">
      <c r="A415" s="12">
        <v>-9.6689664191304345</v>
      </c>
    </row>
    <row r="416" spans="1:1" x14ac:dyDescent="0.35">
      <c r="A416" s="12">
        <v>17.884563253520767</v>
      </c>
    </row>
    <row r="417" spans="1:1" x14ac:dyDescent="0.35">
      <c r="A417" s="12">
        <v>19.456094800301425</v>
      </c>
    </row>
    <row r="418" spans="1:1" x14ac:dyDescent="0.35">
      <c r="A418" s="12">
        <v>2.3386989280087942</v>
      </c>
    </row>
    <row r="419" spans="1:1" x14ac:dyDescent="0.35">
      <c r="A419" s="12">
        <v>0.83383943522157133</v>
      </c>
    </row>
    <row r="420" spans="1:1" x14ac:dyDescent="0.35">
      <c r="A420" s="12">
        <v>27.032998018059139</v>
      </c>
    </row>
    <row r="421" spans="1:1" x14ac:dyDescent="0.35">
      <c r="A421" s="12">
        <v>28.293877666371142</v>
      </c>
    </row>
    <row r="422" spans="1:1" x14ac:dyDescent="0.35">
      <c r="A422" s="12">
        <v>15.956848967278843</v>
      </c>
    </row>
    <row r="423" spans="1:1" x14ac:dyDescent="0.35">
      <c r="A423" s="12">
        <v>7.6133716461730137</v>
      </c>
    </row>
    <row r="424" spans="1:1" x14ac:dyDescent="0.35">
      <c r="A424" s="12">
        <v>11.168362083753363</v>
      </c>
    </row>
    <row r="425" spans="1:1" x14ac:dyDescent="0.35">
      <c r="A425" s="12">
        <v>-17.949337243195266</v>
      </c>
    </row>
    <row r="426" spans="1:1" x14ac:dyDescent="0.35">
      <c r="A426" s="12">
        <v>12.429454832590801</v>
      </c>
    </row>
    <row r="427" spans="1:1" x14ac:dyDescent="0.35">
      <c r="A427" s="12">
        <v>-0.70257303333103305</v>
      </c>
    </row>
    <row r="428" spans="1:1" x14ac:dyDescent="0.35">
      <c r="A428" s="12">
        <v>9.3675532710037466</v>
      </c>
    </row>
    <row r="429" spans="1:1" x14ac:dyDescent="0.35">
      <c r="A429" s="12">
        <v>0.58662311209900997</v>
      </c>
    </row>
    <row r="430" spans="1:1" x14ac:dyDescent="0.35">
      <c r="A430" s="12">
        <v>3.8865000748670524</v>
      </c>
    </row>
    <row r="431" spans="1:1" x14ac:dyDescent="0.35">
      <c r="A431" s="12">
        <v>10.547873820137879</v>
      </c>
    </row>
    <row r="432" spans="1:1" x14ac:dyDescent="0.35">
      <c r="A432" s="12">
        <v>0.98887408170260538</v>
      </c>
    </row>
    <row r="433" spans="1:1" x14ac:dyDescent="0.35">
      <c r="A433" s="12">
        <v>-15.000255222922416</v>
      </c>
    </row>
    <row r="434" spans="1:1" x14ac:dyDescent="0.35">
      <c r="A434" s="12">
        <v>-2.8066857235658156</v>
      </c>
    </row>
    <row r="435" spans="1:1" x14ac:dyDescent="0.35">
      <c r="A435" s="12">
        <v>-1.6806457759844977</v>
      </c>
    </row>
    <row r="436" spans="1:1" x14ac:dyDescent="0.35">
      <c r="A436" s="12">
        <v>40.801602745300144</v>
      </c>
    </row>
    <row r="437" spans="1:1" x14ac:dyDescent="0.35">
      <c r="A437" s="12">
        <v>22.726935272511838</v>
      </c>
    </row>
    <row r="438" spans="1:1" x14ac:dyDescent="0.35">
      <c r="A438" s="12">
        <v>18.711433947344492</v>
      </c>
    </row>
    <row r="439" spans="1:1" x14ac:dyDescent="0.35">
      <c r="A439" s="12">
        <v>26.4702121171408</v>
      </c>
    </row>
    <row r="440" spans="1:1" x14ac:dyDescent="0.35">
      <c r="A440" s="12">
        <v>-16.106963043988561</v>
      </c>
    </row>
    <row r="441" spans="1:1" x14ac:dyDescent="0.35">
      <c r="A441" s="12">
        <v>-12.628193914213966</v>
      </c>
    </row>
    <row r="442" spans="1:1" x14ac:dyDescent="0.35">
      <c r="A442" s="12">
        <v>8.0108254603302544</v>
      </c>
    </row>
    <row r="443" spans="1:1" x14ac:dyDescent="0.35">
      <c r="A443" s="12">
        <v>0.29124916374760279</v>
      </c>
    </row>
    <row r="444" spans="1:1" x14ac:dyDescent="0.35">
      <c r="A444" s="12">
        <v>18.695374511009526</v>
      </c>
    </row>
    <row r="445" spans="1:1" x14ac:dyDescent="0.35">
      <c r="A445" s="12">
        <v>3.3159356106240603</v>
      </c>
    </row>
    <row r="446" spans="1:1" x14ac:dyDescent="0.35">
      <c r="A446" s="12">
        <v>21.199143847688973</v>
      </c>
    </row>
    <row r="447" spans="1:1" x14ac:dyDescent="0.35">
      <c r="A447" s="12">
        <v>-0.99973546058184914</v>
      </c>
    </row>
    <row r="448" spans="1:1" x14ac:dyDescent="0.35">
      <c r="A448" s="12">
        <v>-3.4468748291260933</v>
      </c>
    </row>
    <row r="449" spans="1:1" x14ac:dyDescent="0.35">
      <c r="A449" s="12">
        <v>9.1194084319801529</v>
      </c>
    </row>
    <row r="450" spans="1:1" x14ac:dyDescent="0.35">
      <c r="A450" s="12">
        <v>11.113595749871681</v>
      </c>
    </row>
    <row r="451" spans="1:1" x14ac:dyDescent="0.35">
      <c r="A451" s="12">
        <v>13.036002241335821</v>
      </c>
    </row>
    <row r="452" spans="1:1" x14ac:dyDescent="0.35">
      <c r="A452" s="12">
        <v>9.6582660775362914</v>
      </c>
    </row>
    <row r="453" spans="1:1" x14ac:dyDescent="0.35">
      <c r="A453" s="12">
        <v>-8.1444571913085806</v>
      </c>
    </row>
    <row r="454" spans="1:1" x14ac:dyDescent="0.35">
      <c r="A454" s="12">
        <v>20.970489001492098</v>
      </c>
    </row>
    <row r="455" spans="1:1" x14ac:dyDescent="0.35">
      <c r="A455" s="12">
        <v>17.399551395827501</v>
      </c>
    </row>
    <row r="456" spans="1:1" x14ac:dyDescent="0.35">
      <c r="A456" s="12">
        <v>6.6065431759345955E-2</v>
      </c>
    </row>
    <row r="457" spans="1:1" x14ac:dyDescent="0.35">
      <c r="A457" s="12">
        <v>3.2001277331506301</v>
      </c>
    </row>
    <row r="458" spans="1:1" x14ac:dyDescent="0.35">
      <c r="A458" s="12">
        <v>-2.9177876878736875</v>
      </c>
    </row>
    <row r="459" spans="1:1" x14ac:dyDescent="0.35">
      <c r="A459" s="12">
        <v>22.392311411571292</v>
      </c>
    </row>
    <row r="460" spans="1:1" x14ac:dyDescent="0.35">
      <c r="A460" s="12">
        <v>21.567957841054824</v>
      </c>
    </row>
    <row r="461" spans="1:1" x14ac:dyDescent="0.35">
      <c r="A461" s="12">
        <v>6.3736652587395621</v>
      </c>
    </row>
    <row r="462" spans="1:1" x14ac:dyDescent="0.35">
      <c r="A462" s="12">
        <v>-7.9798767565763198</v>
      </c>
    </row>
    <row r="463" spans="1:1" x14ac:dyDescent="0.35">
      <c r="A463" s="12">
        <v>0.85347041969733706</v>
      </c>
    </row>
    <row r="464" spans="1:1" x14ac:dyDescent="0.35">
      <c r="A464" s="12">
        <v>-6.8341968187814297</v>
      </c>
    </row>
    <row r="465" spans="1:1" x14ac:dyDescent="0.35">
      <c r="A465" s="12">
        <v>19.155295634771946</v>
      </c>
    </row>
    <row r="466" spans="1:1" x14ac:dyDescent="0.35">
      <c r="A466" s="12">
        <v>10.43625252274772</v>
      </c>
    </row>
    <row r="467" spans="1:1" x14ac:dyDescent="0.35">
      <c r="A467" s="12">
        <v>26.964319317560495</v>
      </c>
    </row>
    <row r="468" spans="1:1" x14ac:dyDescent="0.35">
      <c r="A468" s="12">
        <v>-0.6713336008135905</v>
      </c>
    </row>
    <row r="469" spans="1:1" x14ac:dyDescent="0.35">
      <c r="A469" s="12">
        <v>29.819883133932834</v>
      </c>
    </row>
    <row r="470" spans="1:1" x14ac:dyDescent="0.35">
      <c r="A470" s="12">
        <v>19.424456524664407</v>
      </c>
    </row>
    <row r="471" spans="1:1" x14ac:dyDescent="0.35">
      <c r="A471" s="12">
        <v>14.436611946705632</v>
      </c>
    </row>
    <row r="472" spans="1:1" x14ac:dyDescent="0.35">
      <c r="A472" s="12">
        <v>1.9962857673942316</v>
      </c>
    </row>
    <row r="473" spans="1:1" x14ac:dyDescent="0.35">
      <c r="A473" s="12">
        <v>13.72526252932682</v>
      </c>
    </row>
    <row r="474" spans="1:1" x14ac:dyDescent="0.35">
      <c r="A474" s="12">
        <v>12.06170701311463</v>
      </c>
    </row>
    <row r="475" spans="1:1" x14ac:dyDescent="0.35">
      <c r="A475" s="12">
        <v>33.436263938129258</v>
      </c>
    </row>
    <row r="476" spans="1:1" x14ac:dyDescent="0.35">
      <c r="A476" s="12">
        <v>0.94883716117823835</v>
      </c>
    </row>
    <row r="477" spans="1:1" x14ac:dyDescent="0.35">
      <c r="A477" s="12">
        <v>12.591235076332683</v>
      </c>
    </row>
    <row r="478" spans="1:1" x14ac:dyDescent="0.35">
      <c r="A478" s="12">
        <v>-17.363009863316275</v>
      </c>
    </row>
    <row r="479" spans="1:1" x14ac:dyDescent="0.35">
      <c r="A479" s="12">
        <v>10.396342603851959</v>
      </c>
    </row>
    <row r="480" spans="1:1" x14ac:dyDescent="0.35">
      <c r="A480" s="12">
        <v>-13.741278735027326</v>
      </c>
    </row>
    <row r="481" spans="1:1" x14ac:dyDescent="0.35">
      <c r="A481" s="12">
        <v>-4.7414800735294653</v>
      </c>
    </row>
    <row r="482" spans="1:1" x14ac:dyDescent="0.35">
      <c r="A482" s="12">
        <v>4.8404313470169855</v>
      </c>
    </row>
    <row r="483" spans="1:1" x14ac:dyDescent="0.35">
      <c r="A483" s="12">
        <v>5.1811251932800468</v>
      </c>
    </row>
    <row r="484" spans="1:1" x14ac:dyDescent="0.35">
      <c r="A484" s="12">
        <v>4.7364751081614109</v>
      </c>
    </row>
    <row r="485" spans="1:1" x14ac:dyDescent="0.35">
      <c r="A485" s="12">
        <v>-11.449866212355873</v>
      </c>
    </row>
    <row r="486" spans="1:1" x14ac:dyDescent="0.35">
      <c r="A486" s="12">
        <v>-6.1338171573545823</v>
      </c>
    </row>
    <row r="487" spans="1:1" x14ac:dyDescent="0.35">
      <c r="A487" s="12">
        <v>2.4279132333818185</v>
      </c>
    </row>
    <row r="488" spans="1:1" x14ac:dyDescent="0.35">
      <c r="A488" s="12">
        <v>27.990360688406245</v>
      </c>
    </row>
    <row r="489" spans="1:1" x14ac:dyDescent="0.35">
      <c r="A489" s="12">
        <v>-3.4995399098151716</v>
      </c>
    </row>
    <row r="490" spans="1:1" x14ac:dyDescent="0.35">
      <c r="A490" s="12">
        <v>-5.7497771113313565</v>
      </c>
    </row>
    <row r="491" spans="1:1" x14ac:dyDescent="0.35">
      <c r="A491" s="12">
        <v>-2.8635404936981015</v>
      </c>
    </row>
    <row r="492" spans="1:1" x14ac:dyDescent="0.35">
      <c r="A492" s="12">
        <v>13.4462498810631</v>
      </c>
    </row>
    <row r="493" spans="1:1" x14ac:dyDescent="0.35">
      <c r="A493" s="12">
        <v>-5.9310015759051451</v>
      </c>
    </row>
    <row r="494" spans="1:1" x14ac:dyDescent="0.35">
      <c r="A494" s="12">
        <v>-2.6703647328349565</v>
      </c>
    </row>
    <row r="495" spans="1:1" x14ac:dyDescent="0.35">
      <c r="A495" s="12">
        <v>5.5664748318364055</v>
      </c>
    </row>
    <row r="496" spans="1:1" x14ac:dyDescent="0.35">
      <c r="A496" s="12">
        <v>-17.32892978576491</v>
      </c>
    </row>
    <row r="497" spans="1:1" x14ac:dyDescent="0.35">
      <c r="A497" s="12">
        <v>19.549891807413569</v>
      </c>
    </row>
    <row r="498" spans="1:1" x14ac:dyDescent="0.35">
      <c r="A498" s="12">
        <v>-9.0355046617420953</v>
      </c>
    </row>
    <row r="499" spans="1:1" x14ac:dyDescent="0.35">
      <c r="A499" s="12">
        <v>0.99091899646511472</v>
      </c>
    </row>
    <row r="500" spans="1:1" x14ac:dyDescent="0.35">
      <c r="A500" s="12">
        <v>11.80013131392411</v>
      </c>
    </row>
    <row r="501" spans="1:1" x14ac:dyDescent="0.35">
      <c r="A501" s="12">
        <v>24.8245266564697</v>
      </c>
    </row>
    <row r="502" spans="1:1" x14ac:dyDescent="0.35">
      <c r="A502" s="12">
        <v>-6.2800200027920541</v>
      </c>
    </row>
    <row r="503" spans="1:1" x14ac:dyDescent="0.35">
      <c r="A503" s="12">
        <v>-8.5838145272962834</v>
      </c>
    </row>
    <row r="504" spans="1:1" x14ac:dyDescent="0.35">
      <c r="A504" s="12">
        <v>-3.8011623432377601</v>
      </c>
    </row>
    <row r="505" spans="1:1" x14ac:dyDescent="0.35">
      <c r="A505" s="12">
        <v>2.1193820673075532</v>
      </c>
    </row>
    <row r="506" spans="1:1" x14ac:dyDescent="0.35">
      <c r="A506" s="12">
        <v>2.6257831297525094</v>
      </c>
    </row>
    <row r="507" spans="1:1" x14ac:dyDescent="0.35">
      <c r="A507" s="12">
        <v>-6.6902249506409985</v>
      </c>
    </row>
    <row r="508" spans="1:1" x14ac:dyDescent="0.35">
      <c r="A508" s="12">
        <v>28.903953174784586</v>
      </c>
    </row>
    <row r="509" spans="1:1" x14ac:dyDescent="0.35">
      <c r="A509" s="12">
        <v>22.592248124963735</v>
      </c>
    </row>
    <row r="510" spans="1:1" x14ac:dyDescent="0.35">
      <c r="A510" s="12">
        <v>13.725510163383014</v>
      </c>
    </row>
    <row r="511" spans="1:1" x14ac:dyDescent="0.35">
      <c r="A511" s="12">
        <v>21.923693228333093</v>
      </c>
    </row>
    <row r="512" spans="1:1" x14ac:dyDescent="0.35">
      <c r="A512" s="12">
        <v>3.5155597244417338</v>
      </c>
    </row>
    <row r="513" spans="1:1" x14ac:dyDescent="0.35">
      <c r="A513" s="12">
        <v>11.44493552674146</v>
      </c>
    </row>
    <row r="514" spans="1:1" x14ac:dyDescent="0.35">
      <c r="A514" s="12">
        <v>6.2980421918543366</v>
      </c>
    </row>
    <row r="515" spans="1:1" x14ac:dyDescent="0.35">
      <c r="A515" s="12">
        <v>18.405819090704924</v>
      </c>
    </row>
    <row r="516" spans="1:1" x14ac:dyDescent="0.35">
      <c r="A516" s="12">
        <v>6.5388036572631458</v>
      </c>
    </row>
    <row r="517" spans="1:1" x14ac:dyDescent="0.35">
      <c r="A517" s="12">
        <v>4.7310582332295574</v>
      </c>
    </row>
    <row r="518" spans="1:1" x14ac:dyDescent="0.35">
      <c r="A518" s="12">
        <v>-5.8877236467611072</v>
      </c>
    </row>
    <row r="519" spans="1:1" x14ac:dyDescent="0.35">
      <c r="A519" s="12">
        <v>-14.893016234206751</v>
      </c>
    </row>
    <row r="520" spans="1:1" x14ac:dyDescent="0.35">
      <c r="A520" s="12">
        <v>11.028730421229628</v>
      </c>
    </row>
    <row r="521" spans="1:1" x14ac:dyDescent="0.35">
      <c r="A521" s="12">
        <v>-14.782786309114677</v>
      </c>
    </row>
    <row r="522" spans="1:1" x14ac:dyDescent="0.35">
      <c r="A522" s="12">
        <v>10.798034651283114</v>
      </c>
    </row>
    <row r="523" spans="1:1" x14ac:dyDescent="0.35">
      <c r="A523" s="12">
        <v>-4.7059996029466467</v>
      </c>
    </row>
    <row r="524" spans="1:1" x14ac:dyDescent="0.35">
      <c r="A524" s="12">
        <v>16.834689047568226</v>
      </c>
    </row>
    <row r="525" spans="1:1" x14ac:dyDescent="0.35">
      <c r="A525" s="12">
        <v>-1.3368959669326985</v>
      </c>
    </row>
    <row r="526" spans="1:1" x14ac:dyDescent="0.35">
      <c r="A526" s="12">
        <v>-4.8640922052825974</v>
      </c>
    </row>
    <row r="527" spans="1:1" x14ac:dyDescent="0.35">
      <c r="A527" s="12">
        <v>22.373563645035695</v>
      </c>
    </row>
    <row r="528" spans="1:1" x14ac:dyDescent="0.35">
      <c r="A528" s="12">
        <v>3.0206266218882263</v>
      </c>
    </row>
    <row r="529" spans="1:1" x14ac:dyDescent="0.35">
      <c r="A529" s="12">
        <v>-7.1213782310469487</v>
      </c>
    </row>
    <row r="530" spans="1:1" x14ac:dyDescent="0.35">
      <c r="A530" s="12">
        <v>8.3006804488226731</v>
      </c>
    </row>
    <row r="531" spans="1:1" x14ac:dyDescent="0.35">
      <c r="A531" s="12">
        <v>1.4215226243090719</v>
      </c>
    </row>
    <row r="532" spans="1:1" x14ac:dyDescent="0.35">
      <c r="A532" s="12">
        <v>0.95168587317735365</v>
      </c>
    </row>
    <row r="533" spans="1:1" x14ac:dyDescent="0.35">
      <c r="A533" s="12">
        <v>6.0997824821002293</v>
      </c>
    </row>
    <row r="534" spans="1:1" x14ac:dyDescent="0.35">
      <c r="A534" s="12">
        <v>0.15928562376502839</v>
      </c>
    </row>
    <row r="535" spans="1:1" x14ac:dyDescent="0.35">
      <c r="A535" s="12">
        <v>21.063746679662348</v>
      </c>
    </row>
    <row r="536" spans="1:1" x14ac:dyDescent="0.35">
      <c r="A536" s="12">
        <v>13.827625599653578</v>
      </c>
    </row>
    <row r="537" spans="1:1" x14ac:dyDescent="0.35">
      <c r="A537" s="12">
        <v>-8.615624892680021</v>
      </c>
    </row>
    <row r="538" spans="1:1" x14ac:dyDescent="0.35">
      <c r="A538" s="12">
        <v>12.292589080178683</v>
      </c>
    </row>
    <row r="539" spans="1:1" x14ac:dyDescent="0.35">
      <c r="A539" s="12">
        <v>3.9817410830246627</v>
      </c>
    </row>
    <row r="540" spans="1:1" x14ac:dyDescent="0.35">
      <c r="A540" s="12">
        <v>-4.1073874981665943</v>
      </c>
    </row>
    <row r="541" spans="1:1" x14ac:dyDescent="0.35">
      <c r="A541" s="12">
        <v>25.505351182379947</v>
      </c>
    </row>
    <row r="542" spans="1:1" x14ac:dyDescent="0.35">
      <c r="A542" s="12">
        <v>6.9557766426876562</v>
      </c>
    </row>
    <row r="543" spans="1:1" x14ac:dyDescent="0.35">
      <c r="A543" s="12">
        <v>22.487566771501974</v>
      </c>
    </row>
    <row r="544" spans="1:1" x14ac:dyDescent="0.35">
      <c r="A544" s="12">
        <v>-2.0403827120150932</v>
      </c>
    </row>
    <row r="545" spans="1:1" x14ac:dyDescent="0.35">
      <c r="A545" s="12">
        <v>16.146517509486575</v>
      </c>
    </row>
    <row r="546" spans="1:1" x14ac:dyDescent="0.35">
      <c r="A546" s="12">
        <v>13.439363771267237</v>
      </c>
    </row>
    <row r="547" spans="1:1" x14ac:dyDescent="0.35">
      <c r="A547" s="12">
        <v>11.767938213269165</v>
      </c>
    </row>
    <row r="548" spans="1:1" x14ac:dyDescent="0.35">
      <c r="A548" s="12">
        <v>8.3150567165696838</v>
      </c>
    </row>
    <row r="549" spans="1:1" x14ac:dyDescent="0.35">
      <c r="A549" s="12">
        <v>1.9843606198535906</v>
      </c>
    </row>
    <row r="550" spans="1:1" x14ac:dyDescent="0.35">
      <c r="A550" s="12">
        <v>3.830875664432646</v>
      </c>
    </row>
    <row r="551" spans="1:1" x14ac:dyDescent="0.35">
      <c r="A551" s="12">
        <v>-2.5812149824755366</v>
      </c>
    </row>
    <row r="552" spans="1:1" x14ac:dyDescent="0.35">
      <c r="A552" s="12">
        <v>2.3504974069845943</v>
      </c>
    </row>
    <row r="553" spans="1:1" x14ac:dyDescent="0.35">
      <c r="A553" s="12">
        <v>3.9773018263754705</v>
      </c>
    </row>
    <row r="554" spans="1:1" x14ac:dyDescent="0.35">
      <c r="A554" s="12">
        <v>18.933807728707286</v>
      </c>
    </row>
    <row r="555" spans="1:1" x14ac:dyDescent="0.35">
      <c r="A555" s="12">
        <v>4.242286030586869</v>
      </c>
    </row>
    <row r="556" spans="1:1" x14ac:dyDescent="0.35">
      <c r="A556" s="12">
        <v>11.992475308727279</v>
      </c>
    </row>
    <row r="557" spans="1:1" x14ac:dyDescent="0.35">
      <c r="A557" s="12">
        <v>29.824724698178184</v>
      </c>
    </row>
    <row r="558" spans="1:1" x14ac:dyDescent="0.35">
      <c r="A558" s="12">
        <v>15.36864050674988</v>
      </c>
    </row>
    <row r="559" spans="1:1" x14ac:dyDescent="0.35">
      <c r="A559" s="12">
        <v>5.1088996622543457</v>
      </c>
    </row>
    <row r="560" spans="1:1" x14ac:dyDescent="0.35">
      <c r="A560" s="12">
        <v>15.757178513560758</v>
      </c>
    </row>
    <row r="561" spans="1:1" x14ac:dyDescent="0.35">
      <c r="A561" s="12">
        <v>-2.4420387180537935</v>
      </c>
    </row>
    <row r="562" spans="1:1" x14ac:dyDescent="0.35">
      <c r="A562" s="12">
        <v>-13.184954169653171</v>
      </c>
    </row>
    <row r="563" spans="1:1" x14ac:dyDescent="0.35">
      <c r="A563" s="12">
        <v>-7.6195780539976257</v>
      </c>
    </row>
    <row r="564" spans="1:1" x14ac:dyDescent="0.35">
      <c r="A564" s="12">
        <v>0.93777768410089257</v>
      </c>
    </row>
    <row r="565" spans="1:1" x14ac:dyDescent="0.35">
      <c r="A565" s="12">
        <v>7.1562756879678089</v>
      </c>
    </row>
    <row r="566" spans="1:1" x14ac:dyDescent="0.35">
      <c r="A566" s="12">
        <v>12.519463045561103</v>
      </c>
    </row>
    <row r="567" spans="1:1" x14ac:dyDescent="0.35">
      <c r="A567" s="12">
        <v>-13.571999637050023</v>
      </c>
    </row>
    <row r="568" spans="1:1" x14ac:dyDescent="0.35">
      <c r="A568" s="12">
        <v>21.36222094782001</v>
      </c>
    </row>
    <row r="569" spans="1:1" x14ac:dyDescent="0.35">
      <c r="A569" s="12">
        <v>9.0140433698288831</v>
      </c>
    </row>
    <row r="570" spans="1:1" x14ac:dyDescent="0.35">
      <c r="A570" s="12">
        <v>3.6679023623823754</v>
      </c>
    </row>
    <row r="571" spans="1:1" x14ac:dyDescent="0.35">
      <c r="A571" s="12">
        <v>-1.6864773843315337</v>
      </c>
    </row>
    <row r="572" spans="1:1" x14ac:dyDescent="0.35">
      <c r="A572" s="12">
        <v>-7.3549990614536753</v>
      </c>
    </row>
    <row r="573" spans="1:1" x14ac:dyDescent="0.35">
      <c r="A573" s="12">
        <v>14.522205791773564</v>
      </c>
    </row>
    <row r="574" spans="1:1" x14ac:dyDescent="0.35">
      <c r="A574" s="12">
        <v>6.1473920075663271</v>
      </c>
    </row>
    <row r="575" spans="1:1" x14ac:dyDescent="0.35">
      <c r="A575" s="12">
        <v>5.7404059436889332</v>
      </c>
    </row>
    <row r="576" spans="1:1" x14ac:dyDescent="0.35">
      <c r="A576" s="12">
        <v>14.928215536689233</v>
      </c>
    </row>
    <row r="577" spans="1:1" x14ac:dyDescent="0.35">
      <c r="A577" s="12">
        <v>4.0371352182252025</v>
      </c>
    </row>
    <row r="578" spans="1:1" x14ac:dyDescent="0.35">
      <c r="A578" s="12">
        <v>21.681828564031928</v>
      </c>
    </row>
    <row r="579" spans="1:1" x14ac:dyDescent="0.35">
      <c r="A579" s="12">
        <v>8.5042939622733087</v>
      </c>
    </row>
    <row r="580" spans="1:1" x14ac:dyDescent="0.35">
      <c r="A580" s="12">
        <v>1.7079348531261556</v>
      </c>
    </row>
    <row r="581" spans="1:1" x14ac:dyDescent="0.35">
      <c r="A581" s="12">
        <v>9.9960698521752711</v>
      </c>
    </row>
    <row r="582" spans="1:1" x14ac:dyDescent="0.35">
      <c r="A582" s="12">
        <v>-2.8484141701521972</v>
      </c>
    </row>
    <row r="583" spans="1:1" x14ac:dyDescent="0.35">
      <c r="A583" s="12">
        <v>15.826526203994757</v>
      </c>
    </row>
    <row r="584" spans="1:1" x14ac:dyDescent="0.35">
      <c r="A584" s="12">
        <v>-14.321498664848265</v>
      </c>
    </row>
    <row r="585" spans="1:1" x14ac:dyDescent="0.35">
      <c r="A585" s="12">
        <v>-5.186212485304071</v>
      </c>
    </row>
    <row r="586" spans="1:1" x14ac:dyDescent="0.35">
      <c r="A586" s="12">
        <v>6.3368015268614108</v>
      </c>
    </row>
    <row r="587" spans="1:1" x14ac:dyDescent="0.35">
      <c r="A587" s="12">
        <v>11.678860250631672</v>
      </c>
    </row>
    <row r="588" spans="1:1" x14ac:dyDescent="0.35">
      <c r="A588" s="12">
        <v>-1.169782094131081</v>
      </c>
    </row>
    <row r="589" spans="1:1" x14ac:dyDescent="0.35">
      <c r="A589" s="12">
        <v>-10.181678227679459</v>
      </c>
    </row>
    <row r="590" spans="1:1" x14ac:dyDescent="0.35">
      <c r="A590" s="12">
        <v>23.552544874031327</v>
      </c>
    </row>
    <row r="591" spans="1:1" x14ac:dyDescent="0.35">
      <c r="A591" s="12">
        <v>5.7809145000232141</v>
      </c>
    </row>
    <row r="592" spans="1:1" x14ac:dyDescent="0.35">
      <c r="A592" s="12">
        <v>10.252916683340906</v>
      </c>
    </row>
    <row r="593" spans="1:1" x14ac:dyDescent="0.35">
      <c r="A593" s="12">
        <v>12.734007369349825</v>
      </c>
    </row>
    <row r="594" spans="1:1" x14ac:dyDescent="0.35">
      <c r="A594" s="12">
        <v>5.3068079901049492</v>
      </c>
    </row>
    <row r="595" spans="1:1" x14ac:dyDescent="0.35">
      <c r="A595" s="12">
        <v>-4.2982477972582291</v>
      </c>
    </row>
    <row r="596" spans="1:1" x14ac:dyDescent="0.35">
      <c r="A596" s="12">
        <v>-3.1205127322950408</v>
      </c>
    </row>
    <row r="597" spans="1:1" x14ac:dyDescent="0.35">
      <c r="A597" s="12">
        <v>15.531334039570961</v>
      </c>
    </row>
    <row r="598" spans="1:1" x14ac:dyDescent="0.35">
      <c r="A598" s="12">
        <v>27.187589143826465</v>
      </c>
    </row>
    <row r="599" spans="1:1" x14ac:dyDescent="0.35">
      <c r="A599" s="12">
        <v>-7.268388276032038</v>
      </c>
    </row>
    <row r="600" spans="1:1" x14ac:dyDescent="0.35">
      <c r="A600" s="12">
        <v>-4.3079668382878076</v>
      </c>
    </row>
    <row r="601" spans="1:1" x14ac:dyDescent="0.35">
      <c r="A601" s="12">
        <v>1.6411205819912804</v>
      </c>
    </row>
    <row r="602" spans="1:1" x14ac:dyDescent="0.35">
      <c r="A602" s="12">
        <v>24.993388965155575</v>
      </c>
    </row>
    <row r="603" spans="1:1" x14ac:dyDescent="0.35">
      <c r="A603" s="12">
        <v>17.109184749672419</v>
      </c>
    </row>
    <row r="604" spans="1:1" x14ac:dyDescent="0.35">
      <c r="A604" s="12">
        <v>12.813743800952498</v>
      </c>
    </row>
    <row r="605" spans="1:1" x14ac:dyDescent="0.35">
      <c r="A605" s="12">
        <v>8.9795409441496989</v>
      </c>
    </row>
    <row r="606" spans="1:1" x14ac:dyDescent="0.35">
      <c r="A606" s="12">
        <v>16.341676870419874</v>
      </c>
    </row>
    <row r="607" spans="1:1" x14ac:dyDescent="0.35">
      <c r="A607" s="12">
        <v>-8.9899592895250482</v>
      </c>
    </row>
    <row r="608" spans="1:1" x14ac:dyDescent="0.35">
      <c r="A608" s="12">
        <v>13.791543107459031</v>
      </c>
    </row>
    <row r="609" spans="1:1" x14ac:dyDescent="0.35">
      <c r="A609" s="12">
        <v>-14.705723449257954</v>
      </c>
    </row>
    <row r="610" spans="1:1" x14ac:dyDescent="0.35">
      <c r="A610" s="12">
        <v>8.9953185420710646</v>
      </c>
    </row>
    <row r="611" spans="1:1" x14ac:dyDescent="0.35">
      <c r="A611" s="12">
        <v>-23.282351125095815</v>
      </c>
    </row>
    <row r="612" spans="1:1" x14ac:dyDescent="0.35">
      <c r="A612" s="12">
        <v>23.840640515140876</v>
      </c>
    </row>
    <row r="613" spans="1:1" x14ac:dyDescent="0.35">
      <c r="A613" s="12">
        <v>5.2175084459777317</v>
      </c>
    </row>
    <row r="614" spans="1:1" x14ac:dyDescent="0.35">
      <c r="A614" s="12">
        <v>6.0948074419447034</v>
      </c>
    </row>
    <row r="615" spans="1:1" x14ac:dyDescent="0.35">
      <c r="A615" s="12">
        <v>-1.4984851910944359</v>
      </c>
    </row>
    <row r="616" spans="1:1" x14ac:dyDescent="0.35">
      <c r="A616" s="12">
        <v>10.452605298616119</v>
      </c>
    </row>
    <row r="617" spans="1:1" x14ac:dyDescent="0.35">
      <c r="A617" s="12">
        <v>-3.8333243822717114</v>
      </c>
    </row>
    <row r="618" spans="1:1" x14ac:dyDescent="0.35">
      <c r="A618" s="12">
        <v>7.5723547243818228</v>
      </c>
    </row>
    <row r="619" spans="1:1" x14ac:dyDescent="0.35">
      <c r="A619" s="12">
        <v>13.518323854347628</v>
      </c>
    </row>
    <row r="620" spans="1:1" x14ac:dyDescent="0.35">
      <c r="A620" s="12">
        <v>20.945034714145638</v>
      </c>
    </row>
    <row r="621" spans="1:1" x14ac:dyDescent="0.35">
      <c r="A621" s="12">
        <v>5.0400938266824458</v>
      </c>
    </row>
    <row r="622" spans="1:1" x14ac:dyDescent="0.35">
      <c r="A622" s="12">
        <v>2.2525221489425147</v>
      </c>
    </row>
    <row r="623" spans="1:1" x14ac:dyDescent="0.35">
      <c r="A623" s="12">
        <v>27.702315397251461</v>
      </c>
    </row>
    <row r="624" spans="1:1" x14ac:dyDescent="0.35">
      <c r="A624" s="12">
        <v>-12.179265662791043</v>
      </c>
    </row>
    <row r="625" spans="1:1" x14ac:dyDescent="0.35">
      <c r="A625" s="12">
        <v>8.5442703212825784</v>
      </c>
    </row>
    <row r="626" spans="1:1" x14ac:dyDescent="0.35">
      <c r="A626" s="12">
        <v>0.79948242436644823</v>
      </c>
    </row>
    <row r="627" spans="1:1" x14ac:dyDescent="0.35">
      <c r="A627" s="12">
        <v>5.1624363884367597</v>
      </c>
    </row>
    <row r="628" spans="1:1" x14ac:dyDescent="0.35">
      <c r="A628" s="12">
        <v>17.507696193939164</v>
      </c>
    </row>
    <row r="629" spans="1:1" x14ac:dyDescent="0.35">
      <c r="A629" s="12">
        <v>29.99347748507218</v>
      </c>
    </row>
    <row r="630" spans="1:1" x14ac:dyDescent="0.35">
      <c r="A630" s="12">
        <v>1.4996117517058567</v>
      </c>
    </row>
    <row r="631" spans="1:1" x14ac:dyDescent="0.35">
      <c r="A631" s="12">
        <v>8.247797688234197</v>
      </c>
    </row>
    <row r="632" spans="1:1" x14ac:dyDescent="0.35">
      <c r="A632" s="12">
        <v>2.2918903119266218</v>
      </c>
    </row>
    <row r="633" spans="1:1" x14ac:dyDescent="0.35">
      <c r="A633" s="12">
        <v>29.581254267365441</v>
      </c>
    </row>
    <row r="634" spans="1:1" x14ac:dyDescent="0.35">
      <c r="A634" s="12">
        <v>-8.3607596661948751</v>
      </c>
    </row>
    <row r="635" spans="1:1" x14ac:dyDescent="0.35">
      <c r="A635" s="12">
        <v>-3.7537129888541343</v>
      </c>
    </row>
    <row r="636" spans="1:1" x14ac:dyDescent="0.35">
      <c r="A636" s="12">
        <v>27.086153821569685</v>
      </c>
    </row>
    <row r="637" spans="1:1" x14ac:dyDescent="0.35">
      <c r="A637" s="12">
        <v>16.298620556498971</v>
      </c>
    </row>
    <row r="638" spans="1:1" x14ac:dyDescent="0.35">
      <c r="A638" s="12">
        <v>11.149113271383749</v>
      </c>
    </row>
    <row r="639" spans="1:1" x14ac:dyDescent="0.35">
      <c r="A639" s="12">
        <v>18.993900672146363</v>
      </c>
    </row>
    <row r="640" spans="1:1" x14ac:dyDescent="0.35">
      <c r="A640" s="12">
        <v>9.6681252884833917</v>
      </c>
    </row>
    <row r="641" spans="1:1" x14ac:dyDescent="0.35">
      <c r="A641" s="12">
        <v>8.8776236840102989</v>
      </c>
    </row>
    <row r="642" spans="1:1" x14ac:dyDescent="0.35">
      <c r="A642" s="12">
        <v>10.107240045622456</v>
      </c>
    </row>
    <row r="643" spans="1:1" x14ac:dyDescent="0.35">
      <c r="A643" s="12">
        <v>10.221138064872177</v>
      </c>
    </row>
    <row r="644" spans="1:1" x14ac:dyDescent="0.35">
      <c r="A644" s="12">
        <v>-16.120208302368884</v>
      </c>
    </row>
    <row r="645" spans="1:1" x14ac:dyDescent="0.35">
      <c r="A645" s="12">
        <v>-20.419568034739473</v>
      </c>
    </row>
    <row r="646" spans="1:1" x14ac:dyDescent="0.35">
      <c r="A646" s="12">
        <v>2.9977773344372136</v>
      </c>
    </row>
    <row r="647" spans="1:1" x14ac:dyDescent="0.35">
      <c r="A647" s="12">
        <v>10.947725187001174</v>
      </c>
    </row>
    <row r="648" spans="1:1" x14ac:dyDescent="0.35">
      <c r="A648" s="12">
        <v>10.397671077621309</v>
      </c>
    </row>
    <row r="649" spans="1:1" x14ac:dyDescent="0.35">
      <c r="A649" s="12">
        <v>-1.5004611493769919</v>
      </c>
    </row>
    <row r="650" spans="1:1" x14ac:dyDescent="0.35">
      <c r="A650" s="12">
        <v>-0.33176084982260429</v>
      </c>
    </row>
    <row r="651" spans="1:1" x14ac:dyDescent="0.35">
      <c r="A651" s="12">
        <v>10.247763165453968</v>
      </c>
    </row>
    <row r="652" spans="1:1" x14ac:dyDescent="0.35">
      <c r="A652" s="12">
        <v>15.075843932328693</v>
      </c>
    </row>
    <row r="653" spans="1:1" x14ac:dyDescent="0.35">
      <c r="A653" s="12">
        <v>1.6078754511380464</v>
      </c>
    </row>
    <row r="654" spans="1:1" x14ac:dyDescent="0.35">
      <c r="A654" s="12">
        <v>23.096383641616537</v>
      </c>
    </row>
    <row r="655" spans="1:1" x14ac:dyDescent="0.35">
      <c r="A655" s="12">
        <v>-6.4766949497726394</v>
      </c>
    </row>
    <row r="656" spans="1:1" x14ac:dyDescent="0.35">
      <c r="A656" s="12">
        <v>10.850706219821532</v>
      </c>
    </row>
    <row r="657" spans="1:1" x14ac:dyDescent="0.35">
      <c r="A657" s="12">
        <v>13.472098950392247</v>
      </c>
    </row>
    <row r="658" spans="1:1" x14ac:dyDescent="0.35">
      <c r="A658" s="12">
        <v>-8.1350491514201533</v>
      </c>
    </row>
    <row r="659" spans="1:1" x14ac:dyDescent="0.35">
      <c r="A659" s="12">
        <v>-18.753970893227294</v>
      </c>
    </row>
    <row r="660" spans="1:1" x14ac:dyDescent="0.35">
      <c r="A660" s="12">
        <v>-10.772086635056652</v>
      </c>
    </row>
    <row r="661" spans="1:1" x14ac:dyDescent="0.35">
      <c r="A661" s="12">
        <v>-12.414994741382147</v>
      </c>
    </row>
    <row r="662" spans="1:1" x14ac:dyDescent="0.35">
      <c r="A662" s="12">
        <v>-0.10570857996244601</v>
      </c>
    </row>
    <row r="663" spans="1:1" x14ac:dyDescent="0.35">
      <c r="A663" s="12">
        <v>20.315250456852649</v>
      </c>
    </row>
    <row r="664" spans="1:1" x14ac:dyDescent="0.35">
      <c r="A664" s="12">
        <v>7.7533270538241936</v>
      </c>
    </row>
    <row r="665" spans="1:1" x14ac:dyDescent="0.35">
      <c r="A665" s="12">
        <v>-0.83537888987959852</v>
      </c>
    </row>
    <row r="666" spans="1:1" x14ac:dyDescent="0.35">
      <c r="A666" s="12">
        <v>15.845238874912701</v>
      </c>
    </row>
    <row r="667" spans="1:1" x14ac:dyDescent="0.35">
      <c r="A667" s="12">
        <v>14.598219090249131</v>
      </c>
    </row>
    <row r="668" spans="1:1" x14ac:dyDescent="0.35">
      <c r="A668" s="12">
        <v>22.946842896962352</v>
      </c>
    </row>
    <row r="669" spans="1:1" x14ac:dyDescent="0.35">
      <c r="A669" s="12">
        <v>8.1399245690802928</v>
      </c>
    </row>
    <row r="670" spans="1:1" x14ac:dyDescent="0.35">
      <c r="A670" s="12">
        <v>15.444304239724659</v>
      </c>
    </row>
    <row r="671" spans="1:1" x14ac:dyDescent="0.35">
      <c r="A671" s="12">
        <v>21.673776068706058</v>
      </c>
    </row>
    <row r="672" spans="1:1" x14ac:dyDescent="0.35">
      <c r="A672" s="12">
        <v>15.50742543085927</v>
      </c>
    </row>
    <row r="673" spans="1:1" x14ac:dyDescent="0.35">
      <c r="A673" s="12">
        <v>18.827952194601728</v>
      </c>
    </row>
    <row r="674" spans="1:1" x14ac:dyDescent="0.35">
      <c r="A674" s="12">
        <v>24.297827675046037</v>
      </c>
    </row>
    <row r="675" spans="1:1" x14ac:dyDescent="0.35">
      <c r="A675" s="12">
        <v>37.638155590565262</v>
      </c>
    </row>
    <row r="676" spans="1:1" x14ac:dyDescent="0.35">
      <c r="A676" s="12">
        <v>-0.72078226941989365</v>
      </c>
    </row>
    <row r="677" spans="1:1" x14ac:dyDescent="0.35">
      <c r="A677" s="12">
        <v>9.9063015980000486</v>
      </c>
    </row>
    <row r="678" spans="1:1" x14ac:dyDescent="0.35">
      <c r="A678" s="12">
        <v>-3.2057551591837425</v>
      </c>
    </row>
    <row r="679" spans="1:1" x14ac:dyDescent="0.35">
      <c r="A679" s="12">
        <v>-8.1914818596600902</v>
      </c>
    </row>
    <row r="680" spans="1:1" x14ac:dyDescent="0.35">
      <c r="A680" s="12">
        <v>-2.3271002619058927</v>
      </c>
    </row>
    <row r="681" spans="1:1" x14ac:dyDescent="0.35">
      <c r="A681" s="12">
        <v>18.939617421274352</v>
      </c>
    </row>
    <row r="682" spans="1:1" x14ac:dyDescent="0.35">
      <c r="A682" s="12">
        <v>-7.5547276019623331</v>
      </c>
    </row>
    <row r="683" spans="1:1" x14ac:dyDescent="0.35">
      <c r="A683" s="12">
        <v>7.1847791888220955</v>
      </c>
    </row>
    <row r="684" spans="1:1" x14ac:dyDescent="0.35">
      <c r="A684" s="12">
        <v>6.5529016734373675</v>
      </c>
    </row>
    <row r="685" spans="1:1" x14ac:dyDescent="0.35">
      <c r="A685" s="12">
        <v>5.5364919795586598</v>
      </c>
    </row>
    <row r="686" spans="1:1" x14ac:dyDescent="0.35">
      <c r="A686" s="12">
        <v>-0.79176195987716136</v>
      </c>
    </row>
    <row r="687" spans="1:1" x14ac:dyDescent="0.35">
      <c r="A687" s="12">
        <v>-8.4684081442214065</v>
      </c>
    </row>
    <row r="688" spans="1:1" x14ac:dyDescent="0.35">
      <c r="A688" s="12">
        <v>10.499883743623023</v>
      </c>
    </row>
    <row r="689" spans="1:1" x14ac:dyDescent="0.35">
      <c r="A689" s="12">
        <v>-8.8131337796811788</v>
      </c>
    </row>
    <row r="690" spans="1:1" x14ac:dyDescent="0.35">
      <c r="A690" s="12">
        <v>-18.992688868920126</v>
      </c>
    </row>
    <row r="691" spans="1:1" x14ac:dyDescent="0.35">
      <c r="A691" s="12">
        <v>14.348843068611774</v>
      </c>
    </row>
    <row r="692" spans="1:1" x14ac:dyDescent="0.35">
      <c r="A692" s="12">
        <v>0.90684545447724529</v>
      </c>
    </row>
    <row r="693" spans="1:1" x14ac:dyDescent="0.35">
      <c r="A693" s="12">
        <v>22.159519976328149</v>
      </c>
    </row>
    <row r="694" spans="1:1" x14ac:dyDescent="0.35">
      <c r="A694" s="12">
        <v>15.405283780027107</v>
      </c>
    </row>
    <row r="695" spans="1:1" x14ac:dyDescent="0.35">
      <c r="A695" s="12">
        <v>14.631015942409929</v>
      </c>
    </row>
    <row r="696" spans="1:1" x14ac:dyDescent="0.35">
      <c r="A696" s="12">
        <v>21.861589633710892</v>
      </c>
    </row>
    <row r="697" spans="1:1" x14ac:dyDescent="0.35">
      <c r="A697" s="12">
        <v>23.129447692083588</v>
      </c>
    </row>
    <row r="698" spans="1:1" x14ac:dyDescent="0.35">
      <c r="A698" s="12">
        <v>10.358950203013571</v>
      </c>
    </row>
    <row r="699" spans="1:1" x14ac:dyDescent="0.35">
      <c r="A699" s="12">
        <v>0.97309231417190667</v>
      </c>
    </row>
    <row r="700" spans="1:1" x14ac:dyDescent="0.35">
      <c r="A700" s="12">
        <v>11.609940390661714</v>
      </c>
    </row>
    <row r="701" spans="1:1" x14ac:dyDescent="0.35">
      <c r="A701" s="12">
        <v>-0.13158412478738821</v>
      </c>
    </row>
    <row r="702" spans="1:1" x14ac:dyDescent="0.35">
      <c r="A702" s="12">
        <v>1.5447136136727211</v>
      </c>
    </row>
    <row r="703" spans="1:1" x14ac:dyDescent="0.35">
      <c r="A703" s="12">
        <v>26.656550445119841</v>
      </c>
    </row>
    <row r="704" spans="1:1" x14ac:dyDescent="0.35">
      <c r="A704" s="12">
        <v>4.6764520267466612</v>
      </c>
    </row>
    <row r="705" spans="1:1" x14ac:dyDescent="0.35">
      <c r="A705" s="12">
        <v>8.0301264444992739</v>
      </c>
    </row>
    <row r="706" spans="1:1" x14ac:dyDescent="0.35">
      <c r="A706" s="12">
        <v>12.58801577367695</v>
      </c>
    </row>
    <row r="707" spans="1:1" x14ac:dyDescent="0.35">
      <c r="A707" s="12">
        <v>-6.2903125713034012</v>
      </c>
    </row>
    <row r="708" spans="1:1" x14ac:dyDescent="0.35">
      <c r="A708" s="12">
        <v>10.875553036157315</v>
      </c>
    </row>
    <row r="709" spans="1:1" x14ac:dyDescent="0.35">
      <c r="A709" s="12">
        <v>28.990144752943145</v>
      </c>
    </row>
    <row r="710" spans="1:1" x14ac:dyDescent="0.35">
      <c r="A710" s="12">
        <v>-9.2169102814004056</v>
      </c>
    </row>
    <row r="711" spans="1:1" x14ac:dyDescent="0.35">
      <c r="A711" s="12">
        <v>12.390516575312901</v>
      </c>
    </row>
    <row r="712" spans="1:1" x14ac:dyDescent="0.35">
      <c r="A712" s="12">
        <v>15.176479186454815</v>
      </c>
    </row>
    <row r="713" spans="1:1" x14ac:dyDescent="0.35">
      <c r="A713" s="12">
        <v>12.539426624990183</v>
      </c>
    </row>
    <row r="714" spans="1:1" x14ac:dyDescent="0.35">
      <c r="A714" s="12">
        <v>21.334893054335634</v>
      </c>
    </row>
    <row r="715" spans="1:1" x14ac:dyDescent="0.35">
      <c r="A715" s="12">
        <v>2.7649359417252772</v>
      </c>
    </row>
    <row r="716" spans="1:1" x14ac:dyDescent="0.35">
      <c r="A716" s="12">
        <v>20.001172151500676</v>
      </c>
    </row>
    <row r="717" spans="1:1" x14ac:dyDescent="0.35">
      <c r="A717" s="12">
        <v>-2.3445089722431183</v>
      </c>
    </row>
    <row r="718" spans="1:1" x14ac:dyDescent="0.35">
      <c r="A718" s="12">
        <v>20.189859060412015</v>
      </c>
    </row>
    <row r="719" spans="1:1" x14ac:dyDescent="0.35">
      <c r="A719" s="12">
        <v>1.539443282315571</v>
      </c>
    </row>
    <row r="720" spans="1:1" x14ac:dyDescent="0.35">
      <c r="A720" s="12">
        <v>24.005662668955956</v>
      </c>
    </row>
    <row r="721" spans="1:1" x14ac:dyDescent="0.35">
      <c r="A721" s="12">
        <v>24.754261235121433</v>
      </c>
    </row>
    <row r="722" spans="1:1" x14ac:dyDescent="0.35">
      <c r="A722" s="12">
        <v>-6.8746344116472686</v>
      </c>
    </row>
    <row r="723" spans="1:1" x14ac:dyDescent="0.35">
      <c r="A723" s="12">
        <v>15.568957781243373</v>
      </c>
    </row>
    <row r="724" spans="1:1" x14ac:dyDescent="0.35">
      <c r="A724" s="12">
        <v>11.092999903112538</v>
      </c>
    </row>
    <row r="725" spans="1:1" x14ac:dyDescent="0.35">
      <c r="A725" s="12">
        <v>7.3067169160965992</v>
      </c>
    </row>
    <row r="726" spans="1:1" x14ac:dyDescent="0.35">
      <c r="A726" s="12">
        <v>0.48265193135429085</v>
      </c>
    </row>
    <row r="727" spans="1:1" x14ac:dyDescent="0.35">
      <c r="A727" s="12">
        <v>-12.689810683604948</v>
      </c>
    </row>
    <row r="728" spans="1:1" x14ac:dyDescent="0.35">
      <c r="A728" s="12">
        <v>-2.1709653777964335</v>
      </c>
    </row>
    <row r="729" spans="1:1" x14ac:dyDescent="0.35">
      <c r="A729" s="12">
        <v>-0.42397072450724416</v>
      </c>
    </row>
    <row r="730" spans="1:1" x14ac:dyDescent="0.35">
      <c r="A730" s="12">
        <v>16.880952350002222</v>
      </c>
    </row>
    <row r="731" spans="1:1" x14ac:dyDescent="0.35">
      <c r="A731" s="12">
        <v>-11.11358880607486</v>
      </c>
    </row>
    <row r="732" spans="1:1" x14ac:dyDescent="0.35">
      <c r="A732" s="12">
        <v>1.8925500144720095</v>
      </c>
    </row>
    <row r="733" spans="1:1" x14ac:dyDescent="0.35">
      <c r="A733" s="12">
        <v>-6.37610426603666</v>
      </c>
    </row>
    <row r="734" spans="1:1" x14ac:dyDescent="0.35">
      <c r="A734" s="12">
        <v>4.3892912837861902</v>
      </c>
    </row>
    <row r="735" spans="1:1" x14ac:dyDescent="0.35">
      <c r="A735" s="12">
        <v>5.7012398257703065</v>
      </c>
    </row>
    <row r="736" spans="1:1" x14ac:dyDescent="0.35">
      <c r="A736" s="12">
        <v>-1.1274333250383823</v>
      </c>
    </row>
    <row r="737" spans="1:1" x14ac:dyDescent="0.35">
      <c r="A737" s="12">
        <v>25.843237594863361</v>
      </c>
    </row>
    <row r="738" spans="1:1" x14ac:dyDescent="0.35">
      <c r="A738" s="12">
        <v>8.0954960378845353</v>
      </c>
    </row>
    <row r="739" spans="1:1" x14ac:dyDescent="0.35">
      <c r="A739" s="12">
        <v>-8.5161733789342779</v>
      </c>
    </row>
    <row r="740" spans="1:1" x14ac:dyDescent="0.35">
      <c r="A740" s="12">
        <v>17.070652473909316</v>
      </c>
    </row>
    <row r="741" spans="1:1" x14ac:dyDescent="0.35">
      <c r="A741" s="12">
        <v>-10.459293952083467</v>
      </c>
    </row>
    <row r="742" spans="1:1" x14ac:dyDescent="0.35">
      <c r="A742" s="12">
        <v>-6.779593232505424</v>
      </c>
    </row>
    <row r="743" spans="1:1" x14ac:dyDescent="0.35">
      <c r="A743" s="12">
        <v>-12.817534424043149</v>
      </c>
    </row>
    <row r="744" spans="1:1" x14ac:dyDescent="0.35">
      <c r="A744" s="12">
        <v>13.004131245868203</v>
      </c>
    </row>
    <row r="745" spans="1:1" x14ac:dyDescent="0.35">
      <c r="A745" s="12">
        <v>-2.4268915426475539</v>
      </c>
    </row>
    <row r="746" spans="1:1" x14ac:dyDescent="0.35">
      <c r="A746" s="12">
        <v>7.3150963465105212</v>
      </c>
    </row>
    <row r="747" spans="1:1" x14ac:dyDescent="0.35">
      <c r="A747" s="12">
        <v>9.4210843988998842</v>
      </c>
    </row>
    <row r="748" spans="1:1" x14ac:dyDescent="0.35">
      <c r="A748" s="12">
        <v>15.042269052412907</v>
      </c>
    </row>
    <row r="749" spans="1:1" x14ac:dyDescent="0.35">
      <c r="A749" s="12">
        <v>7.0189010891890709</v>
      </c>
    </row>
    <row r="750" spans="1:1" x14ac:dyDescent="0.35">
      <c r="A750" s="12">
        <v>0.93799734127945111</v>
      </c>
    </row>
    <row r="751" spans="1:1" x14ac:dyDescent="0.35">
      <c r="A751" s="12">
        <v>2.1491884118696007</v>
      </c>
    </row>
    <row r="752" spans="1:1" x14ac:dyDescent="0.35">
      <c r="A752" s="12">
        <v>10.951609894041347</v>
      </c>
    </row>
    <row r="753" spans="1:1" x14ac:dyDescent="0.35">
      <c r="A753" s="12">
        <v>-3.3153257561139688</v>
      </c>
    </row>
    <row r="754" spans="1:1" x14ac:dyDescent="0.35">
      <c r="A754" s="12">
        <v>23.486186853013852</v>
      </c>
    </row>
    <row r="755" spans="1:1" x14ac:dyDescent="0.35">
      <c r="A755" s="12">
        <v>9.7446021823005626</v>
      </c>
    </row>
    <row r="756" spans="1:1" x14ac:dyDescent="0.35">
      <c r="A756" s="12">
        <v>6.3420320726336019</v>
      </c>
    </row>
    <row r="757" spans="1:1" x14ac:dyDescent="0.35">
      <c r="A757" s="12">
        <v>8.5045835881628395</v>
      </c>
    </row>
    <row r="758" spans="1:1" x14ac:dyDescent="0.35">
      <c r="A758" s="12">
        <v>-7.5046779674626425</v>
      </c>
    </row>
    <row r="759" spans="1:1" x14ac:dyDescent="0.35">
      <c r="A759" s="12">
        <v>-3.1804914951655108</v>
      </c>
    </row>
    <row r="760" spans="1:1" x14ac:dyDescent="0.35">
      <c r="A760" s="12">
        <v>12.606752516799055</v>
      </c>
    </row>
    <row r="761" spans="1:1" x14ac:dyDescent="0.35">
      <c r="A761" s="12">
        <v>9.2784848396403561</v>
      </c>
    </row>
    <row r="762" spans="1:1" x14ac:dyDescent="0.35">
      <c r="A762" s="12">
        <v>18.716947895688186</v>
      </c>
    </row>
    <row r="763" spans="1:1" x14ac:dyDescent="0.35">
      <c r="A763" s="12">
        <v>-18.859354422859354</v>
      </c>
    </row>
    <row r="764" spans="1:1" x14ac:dyDescent="0.35">
      <c r="A764" s="12">
        <v>-9.693615911597238</v>
      </c>
    </row>
    <row r="765" spans="1:1" x14ac:dyDescent="0.35">
      <c r="A765" s="12">
        <v>23.631751317613453</v>
      </c>
    </row>
    <row r="766" spans="1:1" x14ac:dyDescent="0.35">
      <c r="A766" s="12">
        <v>15.437896161253606</v>
      </c>
    </row>
    <row r="767" spans="1:1" x14ac:dyDescent="0.35">
      <c r="A767" s="12">
        <v>19.638286723189037</v>
      </c>
    </row>
    <row r="768" spans="1:1" x14ac:dyDescent="0.35">
      <c r="A768" s="12">
        <v>9.7871843748712077</v>
      </c>
    </row>
    <row r="769" spans="1:1" x14ac:dyDescent="0.35">
      <c r="A769" s="12">
        <v>13.019560623436609</v>
      </c>
    </row>
    <row r="770" spans="1:1" x14ac:dyDescent="0.35">
      <c r="A770" s="12">
        <v>21.630401062020017</v>
      </c>
    </row>
    <row r="771" spans="1:1" x14ac:dyDescent="0.35">
      <c r="A771" s="12">
        <v>-18.169916761851244</v>
      </c>
    </row>
    <row r="772" spans="1:1" x14ac:dyDescent="0.35">
      <c r="A772" s="12">
        <v>23.788461288147086</v>
      </c>
    </row>
    <row r="773" spans="1:1" x14ac:dyDescent="0.35">
      <c r="A773" s="12">
        <v>8.2668160397424373</v>
      </c>
    </row>
    <row r="774" spans="1:1" x14ac:dyDescent="0.35">
      <c r="A774" s="12">
        <v>12.947986058333932</v>
      </c>
    </row>
    <row r="775" spans="1:1" x14ac:dyDescent="0.35">
      <c r="A775" s="12">
        <v>-11.453421055455086</v>
      </c>
    </row>
    <row r="776" spans="1:1" x14ac:dyDescent="0.35">
      <c r="A776" s="12">
        <v>38.614928545563977</v>
      </c>
    </row>
    <row r="777" spans="1:1" x14ac:dyDescent="0.35">
      <c r="A777" s="12">
        <v>-4.8969790879073436</v>
      </c>
    </row>
    <row r="778" spans="1:1" x14ac:dyDescent="0.35">
      <c r="A778" s="12">
        <v>4.8669132219744071</v>
      </c>
    </row>
    <row r="779" spans="1:1" x14ac:dyDescent="0.35">
      <c r="A779" s="12">
        <v>7.4727208648882897</v>
      </c>
    </row>
    <row r="780" spans="1:1" x14ac:dyDescent="0.35">
      <c r="A780" s="12">
        <v>17.132515779784988</v>
      </c>
    </row>
    <row r="781" spans="1:1" x14ac:dyDescent="0.35">
      <c r="A781" s="12">
        <v>17.978998326385849</v>
      </c>
    </row>
    <row r="782" spans="1:1" x14ac:dyDescent="0.35">
      <c r="A782" s="12">
        <v>-3.2659529996447434</v>
      </c>
    </row>
    <row r="783" spans="1:1" x14ac:dyDescent="0.35">
      <c r="A783" s="12">
        <v>15.729693158220988</v>
      </c>
    </row>
    <row r="784" spans="1:1" x14ac:dyDescent="0.35">
      <c r="A784" s="12">
        <v>-7.8006383469006062</v>
      </c>
    </row>
    <row r="785" spans="1:1" x14ac:dyDescent="0.35">
      <c r="A785" s="12">
        <v>1.8095001956189385</v>
      </c>
    </row>
    <row r="786" spans="1:1" x14ac:dyDescent="0.35">
      <c r="A786" s="12">
        <v>22.189042935616595</v>
      </c>
    </row>
    <row r="787" spans="1:1" x14ac:dyDescent="0.35">
      <c r="A787" s="12">
        <v>-10.391986803727535</v>
      </c>
    </row>
    <row r="788" spans="1:1" x14ac:dyDescent="0.35">
      <c r="A788" s="12">
        <v>16.014021066302369</v>
      </c>
    </row>
    <row r="789" spans="1:1" x14ac:dyDescent="0.35">
      <c r="A789" s="12">
        <v>18.673446502886222</v>
      </c>
    </row>
    <row r="790" spans="1:1" x14ac:dyDescent="0.35">
      <c r="A790" s="12">
        <v>8.8537011419489602</v>
      </c>
    </row>
    <row r="791" spans="1:1" x14ac:dyDescent="0.35">
      <c r="A791" s="12">
        <v>3.6152601686004173</v>
      </c>
    </row>
    <row r="792" spans="1:1" x14ac:dyDescent="0.35">
      <c r="A792" s="12">
        <v>5.5171349579086382</v>
      </c>
    </row>
    <row r="793" spans="1:1" x14ac:dyDescent="0.35">
      <c r="A793" s="12">
        <v>-12.927519262918905</v>
      </c>
    </row>
    <row r="794" spans="1:1" x14ac:dyDescent="0.35">
      <c r="A794" s="12">
        <v>12.742814885536632</v>
      </c>
    </row>
    <row r="795" spans="1:1" x14ac:dyDescent="0.35">
      <c r="A795" s="12">
        <v>-1.7097015789471346</v>
      </c>
    </row>
    <row r="796" spans="1:1" x14ac:dyDescent="0.35">
      <c r="A796" s="12">
        <v>-5.5197759205386925</v>
      </c>
    </row>
    <row r="797" spans="1:1" x14ac:dyDescent="0.35">
      <c r="A797" s="12">
        <v>-3.2594297605272224</v>
      </c>
    </row>
    <row r="798" spans="1:1" x14ac:dyDescent="0.35">
      <c r="A798" s="12">
        <v>-4.6580228072093552</v>
      </c>
    </row>
    <row r="799" spans="1:1" x14ac:dyDescent="0.35">
      <c r="A799" s="12">
        <v>2.0611010977940309</v>
      </c>
    </row>
    <row r="800" spans="1:1" x14ac:dyDescent="0.35">
      <c r="A800" s="12">
        <v>19.521576623156768</v>
      </c>
    </row>
    <row r="801" spans="1:1" x14ac:dyDescent="0.35">
      <c r="A801" s="12">
        <v>6.1140658127665173</v>
      </c>
    </row>
    <row r="802" spans="1:1" x14ac:dyDescent="0.35">
      <c r="A802" s="12">
        <v>1.2769619579453726</v>
      </c>
    </row>
    <row r="803" spans="1:1" x14ac:dyDescent="0.35">
      <c r="A803" s="12">
        <v>8.2344481928268447</v>
      </c>
    </row>
    <row r="804" spans="1:1" x14ac:dyDescent="0.35">
      <c r="A804" s="12">
        <v>-3.2267558956769014</v>
      </c>
    </row>
    <row r="805" spans="1:1" x14ac:dyDescent="0.35">
      <c r="A805" s="12">
        <v>7.9715558252116931</v>
      </c>
    </row>
    <row r="806" spans="1:1" x14ac:dyDescent="0.35">
      <c r="A806" s="12">
        <v>17.077592962633055</v>
      </c>
    </row>
    <row r="807" spans="1:1" x14ac:dyDescent="0.35">
      <c r="A807" s="12">
        <v>10.202618940498089</v>
      </c>
    </row>
    <row r="808" spans="1:1" x14ac:dyDescent="0.35">
      <c r="A808" s="12">
        <v>-1.5656699560857683</v>
      </c>
    </row>
    <row r="809" spans="1:1" x14ac:dyDescent="0.35">
      <c r="A809" s="12">
        <v>18.462623210937359</v>
      </c>
    </row>
    <row r="810" spans="1:1" x14ac:dyDescent="0.35">
      <c r="A810" s="12">
        <v>-17.819566439355828</v>
      </c>
    </row>
    <row r="811" spans="1:1" x14ac:dyDescent="0.35">
      <c r="A811" s="12">
        <v>-9.4726821334016248E-2</v>
      </c>
    </row>
    <row r="812" spans="1:1" x14ac:dyDescent="0.35">
      <c r="A812" s="12">
        <v>18.01925081324914</v>
      </c>
    </row>
    <row r="813" spans="1:1" x14ac:dyDescent="0.35">
      <c r="A813" s="12">
        <v>22.792748284601636</v>
      </c>
    </row>
    <row r="814" spans="1:1" x14ac:dyDescent="0.35">
      <c r="A814" s="12">
        <v>12.83992736612808</v>
      </c>
    </row>
    <row r="815" spans="1:1" x14ac:dyDescent="0.35">
      <c r="A815" s="12">
        <v>12.844514843364001</v>
      </c>
    </row>
    <row r="816" spans="1:1" x14ac:dyDescent="0.35">
      <c r="A816" s="12">
        <v>17.397678890669937</v>
      </c>
    </row>
    <row r="817" spans="1:1" x14ac:dyDescent="0.35">
      <c r="A817" s="12">
        <v>9.5731324413078425E-2</v>
      </c>
    </row>
    <row r="818" spans="1:1" x14ac:dyDescent="0.35">
      <c r="A818" s="12">
        <v>5.9244770200447068</v>
      </c>
    </row>
    <row r="819" spans="1:1" x14ac:dyDescent="0.35">
      <c r="A819" s="12">
        <v>13.040593761317009</v>
      </c>
    </row>
    <row r="820" spans="1:1" x14ac:dyDescent="0.35">
      <c r="A820" s="12">
        <v>-24.195865945235823</v>
      </c>
    </row>
    <row r="821" spans="1:1" x14ac:dyDescent="0.35">
      <c r="A821" s="12">
        <v>22.274179056510008</v>
      </c>
    </row>
    <row r="822" spans="1:1" x14ac:dyDescent="0.35">
      <c r="A822" s="12">
        <v>15.696607015561506</v>
      </c>
    </row>
    <row r="823" spans="1:1" x14ac:dyDescent="0.35">
      <c r="A823" s="12">
        <v>7.3790529244783842</v>
      </c>
    </row>
    <row r="824" spans="1:1" x14ac:dyDescent="0.35">
      <c r="A824" s="12">
        <v>-10.416008694413398</v>
      </c>
    </row>
    <row r="825" spans="1:1" x14ac:dyDescent="0.35">
      <c r="A825" s="12">
        <v>4.3319511539866022</v>
      </c>
    </row>
    <row r="826" spans="1:1" x14ac:dyDescent="0.35">
      <c r="A826" s="12">
        <v>3.1253585731704563</v>
      </c>
    </row>
    <row r="827" spans="1:1" x14ac:dyDescent="0.35">
      <c r="A827" s="12">
        <v>4.5719847524376327</v>
      </c>
    </row>
    <row r="828" spans="1:1" x14ac:dyDescent="0.35">
      <c r="A828" s="12">
        <v>12.711908274357041</v>
      </c>
    </row>
    <row r="829" spans="1:1" x14ac:dyDescent="0.35">
      <c r="A829" s="12">
        <v>24.01228542547447</v>
      </c>
    </row>
    <row r="830" spans="1:1" x14ac:dyDescent="0.35">
      <c r="A830" s="12">
        <v>11.03466368952397</v>
      </c>
    </row>
    <row r="831" spans="1:1" x14ac:dyDescent="0.35">
      <c r="A831" s="12">
        <v>18.228429124110011</v>
      </c>
    </row>
    <row r="832" spans="1:1" x14ac:dyDescent="0.35">
      <c r="A832" s="12">
        <v>-3.5964303269594207</v>
      </c>
    </row>
    <row r="833" spans="1:1" x14ac:dyDescent="0.35">
      <c r="A833" s="12">
        <v>13.222538627169129</v>
      </c>
    </row>
    <row r="834" spans="1:1" x14ac:dyDescent="0.35">
      <c r="A834" s="12">
        <v>-4.1091866207324133</v>
      </c>
    </row>
    <row r="835" spans="1:1" x14ac:dyDescent="0.35">
      <c r="A835" s="12">
        <v>-16.530159401183901</v>
      </c>
    </row>
    <row r="836" spans="1:1" x14ac:dyDescent="0.35">
      <c r="A836" s="12">
        <v>10.548528547416643</v>
      </c>
    </row>
    <row r="837" spans="1:1" x14ac:dyDescent="0.35">
      <c r="A837" s="12">
        <v>7.6759593893155555</v>
      </c>
    </row>
    <row r="838" spans="1:1" x14ac:dyDescent="0.35">
      <c r="A838" s="12">
        <v>28.595001820957766</v>
      </c>
    </row>
    <row r="839" spans="1:1" x14ac:dyDescent="0.35">
      <c r="A839" s="12">
        <v>-6.0442692092408397</v>
      </c>
    </row>
    <row r="840" spans="1:1" x14ac:dyDescent="0.35">
      <c r="A840" s="12">
        <v>19.198256344706408</v>
      </c>
    </row>
    <row r="841" spans="1:1" x14ac:dyDescent="0.35">
      <c r="A841" s="12">
        <v>29.693178930067329</v>
      </c>
    </row>
    <row r="842" spans="1:1" x14ac:dyDescent="0.35">
      <c r="A842" s="12">
        <v>26.446762299304137</v>
      </c>
    </row>
    <row r="843" spans="1:1" x14ac:dyDescent="0.35">
      <c r="A843" s="12">
        <v>12.39232933079075</v>
      </c>
    </row>
    <row r="844" spans="1:1" x14ac:dyDescent="0.35">
      <c r="A844" s="12">
        <v>-6.2011955775420375</v>
      </c>
    </row>
    <row r="845" spans="1:1" x14ac:dyDescent="0.35">
      <c r="A845" s="12">
        <v>20.803177246668788</v>
      </c>
    </row>
    <row r="846" spans="1:1" x14ac:dyDescent="0.35">
      <c r="A846" s="12">
        <v>2.6795154567301505</v>
      </c>
    </row>
    <row r="847" spans="1:1" x14ac:dyDescent="0.35">
      <c r="A847" s="12">
        <v>17.010828555354937</v>
      </c>
    </row>
    <row r="848" spans="1:1" x14ac:dyDescent="0.35">
      <c r="A848" s="12">
        <v>-8.0541820544405009</v>
      </c>
    </row>
    <row r="849" spans="1:1" x14ac:dyDescent="0.35">
      <c r="A849" s="12">
        <v>-1.542379653125119</v>
      </c>
    </row>
    <row r="850" spans="1:1" x14ac:dyDescent="0.35">
      <c r="A850" s="12">
        <v>16.750537492544673</v>
      </c>
    </row>
    <row r="851" spans="1:1" x14ac:dyDescent="0.35">
      <c r="A851" s="12">
        <v>-19.652089066642173</v>
      </c>
    </row>
    <row r="852" spans="1:1" x14ac:dyDescent="0.35">
      <c r="A852" s="12">
        <v>5.3416382376723259</v>
      </c>
    </row>
    <row r="853" spans="1:1" x14ac:dyDescent="0.35">
      <c r="A853" s="12">
        <v>18.691258052284784</v>
      </c>
    </row>
    <row r="854" spans="1:1" x14ac:dyDescent="0.35">
      <c r="A854" s="12">
        <v>12.187688480478974</v>
      </c>
    </row>
    <row r="855" spans="1:1" x14ac:dyDescent="0.35">
      <c r="A855" s="12">
        <v>-10.268169471998991</v>
      </c>
    </row>
    <row r="856" spans="1:1" x14ac:dyDescent="0.35">
      <c r="A856" s="12">
        <v>-3.6832543924378451</v>
      </c>
    </row>
    <row r="857" spans="1:1" x14ac:dyDescent="0.35">
      <c r="A857" s="12">
        <v>-3.6204667145627183</v>
      </c>
    </row>
    <row r="858" spans="1:1" x14ac:dyDescent="0.35">
      <c r="A858" s="12">
        <v>11.46081717722506</v>
      </c>
    </row>
    <row r="859" spans="1:1" x14ac:dyDescent="0.35">
      <c r="A859" s="12">
        <v>2.4857088142868125</v>
      </c>
    </row>
    <row r="860" spans="1:1" x14ac:dyDescent="0.35">
      <c r="A860" s="12">
        <v>14.629826211538088</v>
      </c>
    </row>
    <row r="861" spans="1:1" x14ac:dyDescent="0.35">
      <c r="A861" s="12">
        <v>0.839293307753879</v>
      </c>
    </row>
    <row r="862" spans="1:1" x14ac:dyDescent="0.35">
      <c r="A862" s="12">
        <v>3.2582337868886433</v>
      </c>
    </row>
    <row r="863" spans="1:1" x14ac:dyDescent="0.35">
      <c r="A863" s="12">
        <v>9.7545502115334113</v>
      </c>
    </row>
    <row r="864" spans="1:1" x14ac:dyDescent="0.35">
      <c r="A864" s="12">
        <v>-22.964815588111502</v>
      </c>
    </row>
    <row r="865" spans="1:1" x14ac:dyDescent="0.35">
      <c r="A865" s="12">
        <v>9.409245627882564</v>
      </c>
    </row>
    <row r="866" spans="1:1" x14ac:dyDescent="0.35">
      <c r="A866" s="12">
        <v>10.821267199238219</v>
      </c>
    </row>
    <row r="867" spans="1:1" x14ac:dyDescent="0.35">
      <c r="A867" s="12">
        <v>13.615636184028679</v>
      </c>
    </row>
    <row r="868" spans="1:1" x14ac:dyDescent="0.35">
      <c r="A868" s="12">
        <v>-6.535515453728542</v>
      </c>
    </row>
    <row r="869" spans="1:1" x14ac:dyDescent="0.35">
      <c r="A869" s="12">
        <v>-24.571531275085206</v>
      </c>
    </row>
    <row r="870" spans="1:1" x14ac:dyDescent="0.35">
      <c r="A870" s="12">
        <v>5.1779527357425135</v>
      </c>
    </row>
    <row r="871" spans="1:1" x14ac:dyDescent="0.35">
      <c r="A871" s="12">
        <v>32.298959787468334</v>
      </c>
    </row>
    <row r="872" spans="1:1" x14ac:dyDescent="0.35">
      <c r="A872" s="12">
        <v>22.377161030127535</v>
      </c>
    </row>
    <row r="873" spans="1:1" x14ac:dyDescent="0.35">
      <c r="A873" s="12">
        <v>14.595179022442675</v>
      </c>
    </row>
    <row r="874" spans="1:1" x14ac:dyDescent="0.35">
      <c r="A874" s="12">
        <v>-20.428205506459129</v>
      </c>
    </row>
    <row r="875" spans="1:1" x14ac:dyDescent="0.35">
      <c r="A875" s="12">
        <v>24.334017328602073</v>
      </c>
    </row>
    <row r="876" spans="1:1" x14ac:dyDescent="0.35">
      <c r="A876" s="12">
        <v>7.2895014274144589</v>
      </c>
    </row>
    <row r="877" spans="1:1" x14ac:dyDescent="0.35">
      <c r="A877" s="12">
        <v>6.5120249331304967</v>
      </c>
    </row>
    <row r="878" spans="1:1" x14ac:dyDescent="0.35">
      <c r="A878" s="12">
        <v>-2.4936276576617673</v>
      </c>
    </row>
    <row r="879" spans="1:1" x14ac:dyDescent="0.35">
      <c r="A879" s="12">
        <v>17.373824128137976</v>
      </c>
    </row>
    <row r="880" spans="1:1" x14ac:dyDescent="0.35">
      <c r="A880" s="12">
        <v>-9.0771404317146427</v>
      </c>
    </row>
    <row r="881" spans="1:1" x14ac:dyDescent="0.35">
      <c r="A881" s="12">
        <v>6.5827899932776015</v>
      </c>
    </row>
    <row r="882" spans="1:1" x14ac:dyDescent="0.35">
      <c r="A882" s="12">
        <v>3.7863600757513534</v>
      </c>
    </row>
    <row r="883" spans="1:1" x14ac:dyDescent="0.35">
      <c r="A883" s="12">
        <v>-3.4469232491321846</v>
      </c>
    </row>
    <row r="884" spans="1:1" x14ac:dyDescent="0.35">
      <c r="A884" s="12">
        <v>6.8489909304480312</v>
      </c>
    </row>
    <row r="885" spans="1:1" x14ac:dyDescent="0.35">
      <c r="A885" s="12">
        <v>1.3794095640412571</v>
      </c>
    </row>
    <row r="886" spans="1:1" x14ac:dyDescent="0.35">
      <c r="A886" s="12">
        <v>-15.994816568720195</v>
      </c>
    </row>
    <row r="887" spans="1:1" x14ac:dyDescent="0.35">
      <c r="A887" s="12">
        <v>7.3593090704084938</v>
      </c>
    </row>
    <row r="888" spans="1:1" x14ac:dyDescent="0.35">
      <c r="A888" s="12">
        <v>-4.4520894139590217</v>
      </c>
    </row>
    <row r="889" spans="1:1" x14ac:dyDescent="0.35">
      <c r="A889" s="12">
        <v>-1.3840884660870756</v>
      </c>
    </row>
    <row r="890" spans="1:1" x14ac:dyDescent="0.35">
      <c r="A890" s="12">
        <v>-3.3161025823330865</v>
      </c>
    </row>
    <row r="891" spans="1:1" x14ac:dyDescent="0.35">
      <c r="A891" s="12">
        <v>2.3842242696274361</v>
      </c>
    </row>
    <row r="892" spans="1:1" x14ac:dyDescent="0.35">
      <c r="A892" s="12">
        <v>8.4082422236910279</v>
      </c>
    </row>
    <row r="893" spans="1:1" x14ac:dyDescent="0.35">
      <c r="A893" s="12">
        <v>-0.30342210762829191</v>
      </c>
    </row>
    <row r="894" spans="1:1" x14ac:dyDescent="0.35">
      <c r="A894" s="12">
        <v>12.088818667216165</v>
      </c>
    </row>
    <row r="895" spans="1:1" x14ac:dyDescent="0.35">
      <c r="A895" s="12">
        <v>8.3967971542094855</v>
      </c>
    </row>
    <row r="896" spans="1:1" x14ac:dyDescent="0.35">
      <c r="A896" s="12">
        <v>-4.4343195735162402</v>
      </c>
    </row>
    <row r="897" spans="1:1" x14ac:dyDescent="0.35">
      <c r="A897" s="12">
        <v>9.5004325625398796</v>
      </c>
    </row>
    <row r="898" spans="1:1" x14ac:dyDescent="0.35">
      <c r="A898" s="12">
        <v>2.3988029743960388</v>
      </c>
    </row>
    <row r="899" spans="1:1" x14ac:dyDescent="0.35">
      <c r="A899" s="12">
        <v>-10.554055804852121</v>
      </c>
    </row>
    <row r="900" spans="1:1" x14ac:dyDescent="0.35">
      <c r="A900" s="12">
        <v>12.44099432936647</v>
      </c>
    </row>
    <row r="901" spans="1:1" x14ac:dyDescent="0.35">
      <c r="A901" s="12">
        <v>3.7083998422948747</v>
      </c>
    </row>
    <row r="902" spans="1:1" x14ac:dyDescent="0.35">
      <c r="A902" s="12">
        <v>15.452307180057502</v>
      </c>
    </row>
    <row r="903" spans="1:1" x14ac:dyDescent="0.35">
      <c r="A903" s="12">
        <v>2.9528866371743989</v>
      </c>
    </row>
    <row r="904" spans="1:1" x14ac:dyDescent="0.35">
      <c r="A904" s="12">
        <v>16.671954825093678</v>
      </c>
    </row>
    <row r="905" spans="1:1" x14ac:dyDescent="0.35">
      <c r="A905" s="12">
        <v>1.1159234489598195</v>
      </c>
    </row>
    <row r="906" spans="1:1" x14ac:dyDescent="0.35">
      <c r="A906" s="12">
        <v>1.0271283923248049</v>
      </c>
    </row>
    <row r="907" spans="1:1" x14ac:dyDescent="0.35">
      <c r="A907" s="12">
        <v>5.9113530474559521</v>
      </c>
    </row>
    <row r="908" spans="1:1" x14ac:dyDescent="0.35">
      <c r="A908" s="12">
        <v>17.096879772332898</v>
      </c>
    </row>
    <row r="909" spans="1:1" x14ac:dyDescent="0.35">
      <c r="A909" s="12">
        <v>16.135304801438942</v>
      </c>
    </row>
    <row r="910" spans="1:1" x14ac:dyDescent="0.35">
      <c r="A910" s="12">
        <v>1.9297579473725688</v>
      </c>
    </row>
    <row r="911" spans="1:1" x14ac:dyDescent="0.35">
      <c r="A911" s="12">
        <v>2.5212667427777586</v>
      </c>
    </row>
    <row r="912" spans="1:1" x14ac:dyDescent="0.35">
      <c r="A912" s="12">
        <v>3.1654097605831852</v>
      </c>
    </row>
    <row r="913" spans="1:1" x14ac:dyDescent="0.35">
      <c r="A913" s="12">
        <v>-5.6275510148180112</v>
      </c>
    </row>
    <row r="914" spans="1:1" x14ac:dyDescent="0.35">
      <c r="A914" s="12">
        <v>42.482252251655197</v>
      </c>
    </row>
    <row r="915" spans="1:1" x14ac:dyDescent="0.35">
      <c r="A915" s="12">
        <v>10.592274723820889</v>
      </c>
    </row>
    <row r="916" spans="1:1" x14ac:dyDescent="0.35">
      <c r="A916" s="12">
        <v>-0.10428998842442211</v>
      </c>
    </row>
    <row r="917" spans="1:1" x14ac:dyDescent="0.35">
      <c r="A917" s="12">
        <v>11.34013416450434</v>
      </c>
    </row>
    <row r="918" spans="1:1" x14ac:dyDescent="0.35">
      <c r="A918" s="12">
        <v>1.8993324529571409</v>
      </c>
    </row>
    <row r="919" spans="1:1" x14ac:dyDescent="0.35">
      <c r="A919" s="12">
        <v>-5.8361288921322556</v>
      </c>
    </row>
    <row r="920" spans="1:1" x14ac:dyDescent="0.35">
      <c r="A920" s="12">
        <v>13.262789552869538</v>
      </c>
    </row>
    <row r="921" spans="1:1" x14ac:dyDescent="0.35">
      <c r="A921" s="12">
        <v>18.766269890697767</v>
      </c>
    </row>
    <row r="922" spans="1:1" x14ac:dyDescent="0.35">
      <c r="A922" s="12">
        <v>-6.1791870686692887</v>
      </c>
    </row>
    <row r="923" spans="1:1" x14ac:dyDescent="0.35">
      <c r="A923" s="12">
        <v>10.112228140500102</v>
      </c>
    </row>
    <row r="924" spans="1:1" x14ac:dyDescent="0.35">
      <c r="A924" s="12">
        <v>4.737750188295152</v>
      </c>
    </row>
    <row r="925" spans="1:1" x14ac:dyDescent="0.35">
      <c r="A925" s="12">
        <v>11.31108210342463</v>
      </c>
    </row>
    <row r="926" spans="1:1" x14ac:dyDescent="0.35">
      <c r="A926" s="12">
        <v>-5.5221999557583867</v>
      </c>
    </row>
    <row r="927" spans="1:1" x14ac:dyDescent="0.35">
      <c r="A927" s="12">
        <v>1.9556424610393164</v>
      </c>
    </row>
    <row r="928" spans="1:1" x14ac:dyDescent="0.35">
      <c r="A928" s="12">
        <v>16.013736858398985</v>
      </c>
    </row>
    <row r="929" spans="1:1" x14ac:dyDescent="0.35">
      <c r="A929" s="12">
        <v>8.409039909116121</v>
      </c>
    </row>
    <row r="930" spans="1:1" x14ac:dyDescent="0.35">
      <c r="A930" s="12">
        <v>-1.8851476884501599</v>
      </c>
    </row>
    <row r="931" spans="1:1" x14ac:dyDescent="0.35">
      <c r="A931" s="12">
        <v>7.728577304410277</v>
      </c>
    </row>
    <row r="932" spans="1:1" x14ac:dyDescent="0.35">
      <c r="A932" s="12">
        <v>5.8880412290576967</v>
      </c>
    </row>
    <row r="933" spans="1:1" x14ac:dyDescent="0.35">
      <c r="A933" s="12">
        <v>9.3787813952315915</v>
      </c>
    </row>
    <row r="934" spans="1:1" x14ac:dyDescent="0.35">
      <c r="A934" s="12">
        <v>15.900694040740028</v>
      </c>
    </row>
    <row r="935" spans="1:1" x14ac:dyDescent="0.35">
      <c r="A935" s="12">
        <v>6.3631840186268258</v>
      </c>
    </row>
    <row r="936" spans="1:1" x14ac:dyDescent="0.35">
      <c r="A936" s="12">
        <v>3.085926797540389</v>
      </c>
    </row>
    <row r="937" spans="1:1" x14ac:dyDescent="0.35">
      <c r="A937" s="12">
        <v>6.8396308226411664</v>
      </c>
    </row>
    <row r="938" spans="1:1" x14ac:dyDescent="0.35">
      <c r="A938" s="12">
        <v>-5.5843040353208275</v>
      </c>
    </row>
    <row r="939" spans="1:1" x14ac:dyDescent="0.35">
      <c r="A939" s="12">
        <v>-13.908589554509332</v>
      </c>
    </row>
    <row r="940" spans="1:1" x14ac:dyDescent="0.35">
      <c r="A940" s="12">
        <v>10.262099696276101</v>
      </c>
    </row>
    <row r="941" spans="1:1" x14ac:dyDescent="0.35">
      <c r="A941" s="12">
        <v>-2.7202357040386458</v>
      </c>
    </row>
    <row r="942" spans="1:1" x14ac:dyDescent="0.35">
      <c r="A942" s="12">
        <v>21.451145975558202</v>
      </c>
    </row>
    <row r="943" spans="1:1" x14ac:dyDescent="0.35">
      <c r="A943" s="12">
        <v>14.131348157194184</v>
      </c>
    </row>
    <row r="944" spans="1:1" x14ac:dyDescent="0.35">
      <c r="A944" s="12">
        <v>14.184107217667449</v>
      </c>
    </row>
    <row r="945" spans="1:1" x14ac:dyDescent="0.35">
      <c r="A945" s="12">
        <v>4.5763307116965652</v>
      </c>
    </row>
    <row r="946" spans="1:1" x14ac:dyDescent="0.35">
      <c r="A946" s="12">
        <v>8.9996373455626859</v>
      </c>
    </row>
    <row r="947" spans="1:1" x14ac:dyDescent="0.35">
      <c r="A947" s="12">
        <v>-2.8491832066324232</v>
      </c>
    </row>
    <row r="948" spans="1:1" x14ac:dyDescent="0.35">
      <c r="A948" s="12">
        <v>3.7171319802149299</v>
      </c>
    </row>
    <row r="949" spans="1:1" x14ac:dyDescent="0.35">
      <c r="A949" s="12">
        <v>-4.5046214182554216</v>
      </c>
    </row>
    <row r="950" spans="1:1" x14ac:dyDescent="0.35">
      <c r="A950" s="12">
        <v>11.789631764951231</v>
      </c>
    </row>
    <row r="951" spans="1:1" x14ac:dyDescent="0.35">
      <c r="A951" s="12">
        <v>0.48041283133534718</v>
      </c>
    </row>
    <row r="952" spans="1:1" x14ac:dyDescent="0.35">
      <c r="A952" s="12">
        <v>12.234064334702378</v>
      </c>
    </row>
    <row r="953" spans="1:1" x14ac:dyDescent="0.35">
      <c r="A953" s="12">
        <v>22.653848522654286</v>
      </c>
    </row>
    <row r="954" spans="1:1" x14ac:dyDescent="0.35">
      <c r="A954" s="12">
        <v>21.396994913312525</v>
      </c>
    </row>
    <row r="955" spans="1:1" x14ac:dyDescent="0.35">
      <c r="A955" s="12">
        <v>27.330939231871564</v>
      </c>
    </row>
    <row r="956" spans="1:1" x14ac:dyDescent="0.35">
      <c r="A956" s="12">
        <v>0.673539839050875</v>
      </c>
    </row>
    <row r="957" spans="1:1" x14ac:dyDescent="0.35">
      <c r="A957" s="12">
        <v>25.219520469148961</v>
      </c>
    </row>
    <row r="958" spans="1:1" x14ac:dyDescent="0.35">
      <c r="A958" s="12">
        <v>18.910072794661776</v>
      </c>
    </row>
    <row r="959" spans="1:1" x14ac:dyDescent="0.35">
      <c r="A959" s="12">
        <v>-4.3569686377570997</v>
      </c>
    </row>
    <row r="960" spans="1:1" x14ac:dyDescent="0.35">
      <c r="A960" s="12">
        <v>11.373842838664244</v>
      </c>
    </row>
    <row r="961" spans="1:1" x14ac:dyDescent="0.35">
      <c r="A961" s="12">
        <v>10.783786696516023</v>
      </c>
    </row>
    <row r="962" spans="1:1" x14ac:dyDescent="0.35">
      <c r="A962" s="12">
        <v>-0.45952418442969922</v>
      </c>
    </row>
    <row r="963" spans="1:1" x14ac:dyDescent="0.35">
      <c r="A963" s="12">
        <v>13.489544719992679</v>
      </c>
    </row>
    <row r="964" spans="1:1" x14ac:dyDescent="0.35">
      <c r="A964" s="12">
        <v>-3.0178732027051924</v>
      </c>
    </row>
    <row r="965" spans="1:1" x14ac:dyDescent="0.35">
      <c r="A965" s="12">
        <v>3.7795715586976062</v>
      </c>
    </row>
    <row r="966" spans="1:1" x14ac:dyDescent="0.35">
      <c r="A966" s="12">
        <v>10.139972362150791</v>
      </c>
    </row>
    <row r="967" spans="1:1" x14ac:dyDescent="0.35">
      <c r="A967" s="12">
        <v>26.217011423738374</v>
      </c>
    </row>
    <row r="968" spans="1:1" x14ac:dyDescent="0.35">
      <c r="A968" s="12">
        <v>15.171978252353272</v>
      </c>
    </row>
    <row r="969" spans="1:1" x14ac:dyDescent="0.35">
      <c r="A969" s="12">
        <v>20.879768749872568</v>
      </c>
    </row>
    <row r="970" spans="1:1" x14ac:dyDescent="0.35">
      <c r="A970" s="12">
        <v>7.6511797384070039</v>
      </c>
    </row>
    <row r="971" spans="1:1" x14ac:dyDescent="0.35">
      <c r="A971" s="12">
        <v>19.146393000631001</v>
      </c>
    </row>
    <row r="972" spans="1:1" x14ac:dyDescent="0.35">
      <c r="A972" s="12">
        <v>-2.9333266685091592</v>
      </c>
    </row>
    <row r="973" spans="1:1" x14ac:dyDescent="0.35">
      <c r="A973" s="12">
        <v>-13.933632700838155</v>
      </c>
    </row>
    <row r="974" spans="1:1" x14ac:dyDescent="0.35">
      <c r="A974" s="12">
        <v>19.650709666248332</v>
      </c>
    </row>
    <row r="975" spans="1:1" x14ac:dyDescent="0.35">
      <c r="A975" s="12">
        <v>8.8169911829221377</v>
      </c>
    </row>
    <row r="976" spans="1:1" x14ac:dyDescent="0.35">
      <c r="A976" s="12">
        <v>19.007983629516879</v>
      </c>
    </row>
    <row r="977" spans="1:1" x14ac:dyDescent="0.35">
      <c r="A977" s="12">
        <v>10.075432227557705</v>
      </c>
    </row>
    <row r="978" spans="1:1" x14ac:dyDescent="0.35">
      <c r="A978" s="12">
        <v>11.178228941453416</v>
      </c>
    </row>
    <row r="979" spans="1:1" x14ac:dyDescent="0.35">
      <c r="A979" s="12">
        <v>20.570576799548913</v>
      </c>
    </row>
    <row r="980" spans="1:1" x14ac:dyDescent="0.35">
      <c r="A980" s="12">
        <v>10.47914034816114</v>
      </c>
    </row>
    <row r="981" spans="1:1" x14ac:dyDescent="0.35">
      <c r="A981" s="12">
        <v>5.8476452529153633</v>
      </c>
    </row>
    <row r="982" spans="1:1" x14ac:dyDescent="0.35">
      <c r="A982" s="12">
        <v>9.9524317828225364</v>
      </c>
    </row>
    <row r="983" spans="1:1" x14ac:dyDescent="0.35">
      <c r="A983" s="12">
        <v>2.7413236051226955</v>
      </c>
    </row>
    <row r="984" spans="1:1" x14ac:dyDescent="0.35">
      <c r="A984" s="12">
        <v>-8.5956896894929695</v>
      </c>
    </row>
    <row r="985" spans="1:1" x14ac:dyDescent="0.35">
      <c r="A985" s="12">
        <v>19.089375889611141</v>
      </c>
    </row>
    <row r="986" spans="1:1" x14ac:dyDescent="0.35">
      <c r="A986" s="12">
        <v>7.1719926191867822</v>
      </c>
    </row>
    <row r="987" spans="1:1" x14ac:dyDescent="0.35">
      <c r="A987" s="12">
        <v>11.847480399356048</v>
      </c>
    </row>
    <row r="988" spans="1:1" x14ac:dyDescent="0.35">
      <c r="A988" s="12">
        <v>-14.655195255189927</v>
      </c>
    </row>
    <row r="989" spans="1:1" x14ac:dyDescent="0.35">
      <c r="A989" s="12">
        <v>16.248518659558972</v>
      </c>
    </row>
    <row r="990" spans="1:1" x14ac:dyDescent="0.35">
      <c r="A990" s="12">
        <v>9.5349551131970003</v>
      </c>
    </row>
    <row r="991" spans="1:1" x14ac:dyDescent="0.35">
      <c r="A991" s="12">
        <v>32.80926201708791</v>
      </c>
    </row>
    <row r="992" spans="1:1" x14ac:dyDescent="0.35">
      <c r="A992" s="12">
        <v>-0.14489720035746295</v>
      </c>
    </row>
    <row r="993" spans="1:1" x14ac:dyDescent="0.35">
      <c r="A993" s="12">
        <v>-19.383832350651886</v>
      </c>
    </row>
    <row r="994" spans="1:1" x14ac:dyDescent="0.35">
      <c r="A994" s="12">
        <v>1.1449062348067123</v>
      </c>
    </row>
    <row r="995" spans="1:1" x14ac:dyDescent="0.35">
      <c r="A995" s="12">
        <v>-13.427685788192612</v>
      </c>
    </row>
    <row r="996" spans="1:1" x14ac:dyDescent="0.35">
      <c r="A996" s="12">
        <v>7.8225213996522474</v>
      </c>
    </row>
    <row r="997" spans="1:1" x14ac:dyDescent="0.35">
      <c r="A997" s="12">
        <v>4.1865304596286279</v>
      </c>
    </row>
    <row r="998" spans="1:1" x14ac:dyDescent="0.35">
      <c r="A998" s="12">
        <v>-4.9480486886572406</v>
      </c>
    </row>
    <row r="999" spans="1:1" x14ac:dyDescent="0.35">
      <c r="A999" s="12">
        <v>21.018949714446343</v>
      </c>
    </row>
    <row r="1000" spans="1:1" x14ac:dyDescent="0.35">
      <c r="A1000" s="12">
        <v>6.8369663283660866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565150</xdr:colOff>
                    <xdr:row>1</xdr:row>
                    <xdr:rowOff>177800</xdr:rowOff>
                  </from>
                  <to>
                    <xdr:col>3</xdr:col>
                    <xdr:colOff>457200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unForm">
                <anchor moveWithCells="1" sizeWithCells="1">
                  <from>
                    <xdr:col>3</xdr:col>
                    <xdr:colOff>6350</xdr:colOff>
                    <xdr:row>921</xdr:row>
                    <xdr:rowOff>38100</xdr:rowOff>
                  </from>
                  <to>
                    <xdr:col>7</xdr:col>
                    <xdr:colOff>501650</xdr:colOff>
                    <xdr:row>925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F0D75-0328-4CC5-B955-0BF67FBB62FE}">
  <sheetPr codeName="Sheet3"/>
  <dimension ref="A1"/>
  <sheetViews>
    <sheetView workbookViewId="0">
      <selection activeCell="AA27" sqref="AA27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Main</vt:lpstr>
      <vt:lpstr>Histogram Data</vt:lpstr>
      <vt:lpstr>HistogramView</vt:lpstr>
      <vt:lpstr>Hist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Peter Thompson</cp:lastModifiedBy>
  <dcterms:created xsi:type="dcterms:W3CDTF">2013-10-29T18:00:12Z</dcterms:created>
  <dcterms:modified xsi:type="dcterms:W3CDTF">2025-04-13T20:50:50Z</dcterms:modified>
</cp:coreProperties>
</file>